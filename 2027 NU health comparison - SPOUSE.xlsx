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bh634\Documents\GitHub\nu-health-plan-comparison\"/>
    </mc:Choice>
  </mc:AlternateContent>
  <xr:revisionPtr revIDLastSave="0" documentId="13_ncr:1_{BDE6FA69-53AD-42F9-89D9-16D6FD49C082}" xr6:coauthVersionLast="47" xr6:coauthVersionMax="47" xr10:uidLastSave="{00000000-0000-0000-0000-000000000000}"/>
  <bookViews>
    <workbookView xWindow="2730" yWindow="0" windowWidth="21165" windowHeight="17280" xr2:uid="{00000000-000D-0000-FFFF-FFFF00000000}"/>
  </bookViews>
  <sheets>
    <sheet name="Calculator" sheetId="1" r:id="rId1"/>
    <sheet name="YOY Premium increases" sheetId="3" r:id="rId2"/>
  </sheets>
  <definedNames>
    <definedName name="Year1" localSheetId="1">'YOY Premium increases'!$O$21</definedName>
    <definedName name="Year1">#REF!</definedName>
    <definedName name="Year1BCBS">'YOY Premium increases'!$O$21</definedName>
    <definedName name="Year1UHC">'YOY Premium increases'!$O$1</definedName>
    <definedName name="Year2" localSheetId="1">'YOY Premium increases'!$O$22</definedName>
    <definedName name="Year2">#REF!</definedName>
    <definedName name="Year2BCBS">'YOY Premium increases'!$O$22</definedName>
    <definedName name="Year2UHC">'YOY Premium increases'!$O$2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9" i="3" l="1"/>
  <c r="A38" i="3"/>
  <c r="A37" i="3"/>
  <c r="A36" i="3"/>
  <c r="A35" i="3"/>
  <c r="A29" i="3"/>
  <c r="A28" i="3"/>
  <c r="A27" i="3"/>
  <c r="A26" i="3"/>
  <c r="A25" i="3"/>
  <c r="M19" i="3"/>
  <c r="L19" i="3"/>
  <c r="K19" i="3"/>
  <c r="J19" i="3"/>
  <c r="A19" i="3"/>
  <c r="M18" i="3"/>
  <c r="L18" i="3"/>
  <c r="K18" i="3"/>
  <c r="J18" i="3"/>
  <c r="A18" i="3"/>
  <c r="M17" i="3"/>
  <c r="L17" i="3"/>
  <c r="K17" i="3"/>
  <c r="J17" i="3"/>
  <c r="A17" i="3"/>
  <c r="M16" i="3"/>
  <c r="L16" i="3"/>
  <c r="K16" i="3"/>
  <c r="J16" i="3"/>
  <c r="A16" i="3"/>
  <c r="M15" i="3"/>
  <c r="L15" i="3"/>
  <c r="K15" i="3"/>
  <c r="J15" i="3"/>
  <c r="A15" i="3"/>
  <c r="A9" i="3"/>
  <c r="A8" i="3"/>
  <c r="A7" i="3"/>
  <c r="A6" i="3"/>
  <c r="M5" i="3"/>
  <c r="L5" i="3"/>
  <c r="K5" i="3"/>
  <c r="J5" i="3"/>
  <c r="A5" i="3"/>
  <c r="C10" i="1"/>
  <c r="C9" i="1"/>
  <c r="L29" i="3" l="1"/>
  <c r="M28" i="3"/>
  <c r="M27" i="3"/>
  <c r="L26" i="3"/>
  <c r="M25" i="3"/>
  <c r="J8" i="3"/>
  <c r="J6" i="3"/>
  <c r="M29" i="3"/>
  <c r="L28" i="3"/>
  <c r="J27" i="3"/>
  <c r="M26" i="3"/>
  <c r="J25" i="3"/>
  <c r="K8" i="3"/>
  <c r="J7" i="3"/>
  <c r="M9" i="3"/>
  <c r="L9" i="3"/>
  <c r="K9" i="3"/>
  <c r="J9" i="3"/>
  <c r="M8" i="3"/>
  <c r="L8" i="3"/>
  <c r="K7" i="3"/>
  <c r="K6" i="3"/>
  <c r="J29" i="3"/>
  <c r="K28" i="3"/>
  <c r="L27" i="3"/>
  <c r="J26" i="3"/>
  <c r="L25" i="3"/>
  <c r="M7" i="3"/>
  <c r="L6" i="3"/>
  <c r="K29" i="3"/>
  <c r="J28" i="3"/>
  <c r="K27" i="3"/>
  <c r="K26" i="3"/>
  <c r="K25" i="3"/>
  <c r="L7" i="3"/>
  <c r="M6" i="3"/>
  <c r="D3" i="1"/>
  <c r="C3" i="1"/>
  <c r="E11" i="1"/>
  <c r="D11" i="1"/>
  <c r="C11" i="1"/>
  <c r="B11" i="1"/>
  <c r="E10" i="1"/>
  <c r="D10" i="1"/>
  <c r="B10" i="1"/>
  <c r="E9" i="1"/>
  <c r="D9" i="1"/>
  <c r="B9" i="1"/>
  <c r="E8" i="1"/>
  <c r="D8" i="1"/>
  <c r="C8" i="1"/>
  <c r="B8" i="1"/>
  <c r="D6" i="1"/>
  <c r="C6" i="1"/>
  <c r="C7" i="1"/>
  <c r="D7" i="1" l="1"/>
  <c r="E12" i="1" l="1"/>
  <c r="D12" i="1"/>
  <c r="C12" i="1"/>
  <c r="B12" i="1"/>
  <c r="C2" i="1" l="1"/>
  <c r="C4" i="1" s="1"/>
  <c r="D2" i="1"/>
  <c r="E2" i="1"/>
  <c r="E4" i="1" s="1"/>
  <c r="B2" i="1"/>
  <c r="B4" i="1" s="1"/>
  <c r="B5" i="1" l="1"/>
  <c r="E5" i="1"/>
  <c r="C5" i="1"/>
  <c r="D4" i="1"/>
  <c r="B13" i="1" l="1"/>
  <c r="B17" i="1"/>
  <c r="B15" i="1"/>
  <c r="B18" i="1"/>
  <c r="E14" i="1"/>
  <c r="E18" i="1"/>
  <c r="E17" i="1"/>
  <c r="E15" i="1"/>
  <c r="C15" i="1"/>
  <c r="C18" i="1"/>
  <c r="C16" i="1"/>
  <c r="C17" i="1"/>
  <c r="C14" i="1"/>
  <c r="E16" i="1"/>
  <c r="B14" i="1"/>
  <c r="B16" i="1"/>
  <c r="D5" i="1"/>
  <c r="C13" i="1"/>
  <c r="E13" i="1"/>
  <c r="D17" i="1" l="1"/>
  <c r="D15" i="1"/>
  <c r="E20" i="1"/>
  <c r="D13" i="1"/>
  <c r="D18" i="1"/>
  <c r="B20" i="1"/>
  <c r="C20" i="1"/>
  <c r="D14" i="1"/>
  <c r="D16" i="1"/>
  <c r="D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6" authorId="0" shapeId="0" xr:uid="{571F010B-9D83-4CC2-BA2D-EBC8722CCFC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$1000 ($2000 family) of HSA contributions; this is free money and reduces the yearly cost of care.</t>
        </r>
      </text>
    </comment>
    <comment ref="A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4" authorId="0" shapeId="0" xr:uid="{ABCF2DD9-1949-49FA-854B-6B15108DC9C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one participant, but the plan does not pay for any care.</t>
        </r>
      </text>
    </comment>
    <comment ref="A15" authorId="0" shapeId="0" xr:uid="{B737A9E6-8CBA-4729-9DCE-1DA92E10ECB3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both participants, but the plan does not pay for any care.</t>
        </r>
      </text>
    </comment>
    <comment ref="A16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person.</t>
        </r>
      </text>
    </comment>
    <comment ref="A17" authorId="0" shapeId="0" xr:uid="{B1F4031B-03FC-4360-B942-BC3D2496A51E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 and the other hits the deductible.</t>
        </r>
      </text>
    </comment>
    <comment ref="A18" authorId="0" shapeId="0" xr:uid="{C96D3833-BB73-43C5-8708-583B8318E7BF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both participants.</t>
        </r>
      </text>
    </comment>
  </commentList>
</comments>
</file>

<file path=xl/sharedStrings.xml><?xml version="1.0" encoding="utf-8"?>
<sst xmlns="http://schemas.openxmlformats.org/spreadsheetml/2006/main" count="167" uniqueCount="66">
  <si>
    <t>HMO</t>
  </si>
  <si>
    <t>Comparison</t>
  </si>
  <si>
    <t>HSA Match</t>
  </si>
  <si>
    <t>Yearly premium</t>
  </si>
  <si>
    <t>No care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</si>
  <si>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</si>
  <si>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</si>
  <si>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</si>
  <si>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</si>
  <si>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</si>
  <si>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</si>
  <si>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</si>
  <si>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</si>
  <si>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</si>
  <si>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</si>
  <si>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</si>
  <si>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</si>
  <si>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</si>
  <si>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In-Network</t>
  </si>
  <si>
    <t>Out-of-Network</t>
  </si>
  <si>
    <t>Your Federal tax bracket
EDIT THIS</t>
  </si>
  <si>
    <t>Federal Tax Brackets</t>
  </si>
  <si>
    <t>Premium tax savings</t>
  </si>
  <si>
    <t>HSA tax savings</t>
  </si>
  <si>
    <t>HSA Contribution</t>
  </si>
  <si>
    <t>EDIT THIS</t>
  </si>
  <si>
    <t>Up to $128K</t>
  </si>
  <si>
    <t>Year 1</t>
  </si>
  <si>
    <t>Year 2</t>
  </si>
  <si>
    <t>A</t>
  </si>
  <si>
    <t>B</t>
  </si>
  <si>
    <t>C</t>
  </si>
  <si>
    <t>D</t>
  </si>
  <si>
    <t>E</t>
  </si>
  <si>
    <t>PPO</t>
  </si>
  <si>
    <t>% Increase BCBS to UHC</t>
  </si>
  <si>
    <t>% Increase BCBS</t>
  </si>
  <si>
    <t>SPPO -&gt; PPO</t>
  </si>
  <si>
    <t>HMO-&gt;HMO</t>
  </si>
  <si>
    <t>VPPO-&gt;HSA+</t>
  </si>
  <si>
    <t>HSA+</t>
  </si>
  <si>
    <t>HSAe</t>
  </si>
  <si>
    <t>VPPO-&gt;HSAe</t>
  </si>
  <si>
    <t>Deductible-Fam</t>
  </si>
  <si>
    <t>OOP max-Fam</t>
  </si>
  <si>
    <t>$2000 maximizes the NU HSA match</t>
  </si>
  <si>
    <t>Deductible-Ind</t>
  </si>
  <si>
    <t>OOP max-Ind</t>
  </si>
  <si>
    <t>Deductible year costs (1 person)</t>
  </si>
  <si>
    <t>Deductible year costs (2 people)</t>
  </si>
  <si>
    <t>OOP care year costs (1 person)</t>
  </si>
  <si>
    <t>OOP care year costs (2 people)</t>
  </si>
  <si>
    <t>Deductible (Family)</t>
  </si>
  <si>
    <t>Deductible (Individual)</t>
  </si>
  <si>
    <t>OOP max (Family)</t>
  </si>
  <si>
    <t>OOP max (Individual)</t>
  </si>
  <si>
    <t>Monthly premium</t>
  </si>
  <si>
    <t>Monthly HSA</t>
  </si>
  <si>
    <t>Deductible (1) + OOP costs (1)</t>
  </si>
  <si>
    <t>This comparison is valid for the "you + spouse" coverage level and assumes individual deductibles within the PPO and HSAe family plans.</t>
  </si>
  <si>
    <t>A FSA tax benefit could be obtained for the PPO or HMO plans by contributing to an FSA for the year; however, a FSA is use it or lose it (pre-spending plan) as opposed to a true savings plan.</t>
  </si>
  <si>
    <t>% Increase UHC</t>
  </si>
  <si>
    <t>FICA taxes (social security &amp; medicare) deliberately excluded to avoid complexity of salary caps and additional tax.</t>
  </si>
  <si>
    <t>2027 maximum (NU)</t>
  </si>
  <si>
    <t>Tax savings assumes a reduction in 2027 income taxes due of (2027 Federal tax bracket + 4.95%), where 4.95% is the IL tax rate for 2027.</t>
  </si>
  <si>
    <t>In 2027, PPO and HMO plans have a separate prescription drug OOP max. If you will need prescription drug coverage, this increases the expected PPO and HMO costs under the deductible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</si>
</sst>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  <xf numFmtId="164" fontId="7" fillId="0" borderId="0" xfId="0" applyNumberFormat="1" applyFont="1"/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54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Calculator!$B$12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Calculator!$B$13:$B$18</c:f>
              <c:numCache>
                <c:formatCode>"$"#,##0_);[Red]\("$"#,##0\)</c:formatCode>
                <c:ptCount val="6"/>
                <c:pt idx="0">
                  <c:v>2322.9899999999998</c:v>
                </c:pt>
                <c:pt idx="1">
                  <c:v>3072.99</c:v>
                </c:pt>
                <c:pt idx="2">
                  <c:v>3822.99</c:v>
                </c:pt>
                <c:pt idx="3">
                  <c:v>5322.99</c:v>
                </c:pt>
                <c:pt idx="4">
                  <c:v>6072.99</c:v>
                </c:pt>
                <c:pt idx="5">
                  <c:v>8322.99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2-404A-984F-BB620B18BD4D}"/>
            </c:ext>
          </c:extLst>
        </c:ser>
        <c:ser>
          <c:idx val="1"/>
          <c:order val="1"/>
          <c:tx>
            <c:strRef>
              <c:f>Calculator!$C$12</c:f>
              <c:strCache>
                <c:ptCount val="1"/>
                <c:pt idx="0">
                  <c:v>HSA+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Calculator!$C$13:$C$18</c:f>
              <c:numCache>
                <c:formatCode>"$"#,##0_);[Red]\("$"#,##0\)</c:formatCode>
                <c:ptCount val="6"/>
                <c:pt idx="0">
                  <c:v>-890.99200000000019</c:v>
                </c:pt>
                <c:pt idx="1">
                  <c:v>3109.0079999999998</c:v>
                </c:pt>
                <c:pt idx="2">
                  <c:v>3109.0079999999998</c:v>
                </c:pt>
                <c:pt idx="3">
                  <c:v>3109.0079999999998</c:v>
                </c:pt>
                <c:pt idx="4">
                  <c:v>3109.0079999999998</c:v>
                </c:pt>
                <c:pt idx="5">
                  <c:v>7109.0079999999998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2-404A-984F-BB620B18BD4D}"/>
            </c:ext>
          </c:extLst>
        </c:ser>
        <c:ser>
          <c:idx val="2"/>
          <c:order val="2"/>
          <c:tx>
            <c:strRef>
              <c:f>Calculator!$D$12</c:f>
              <c:strCache>
                <c:ptCount val="1"/>
                <c:pt idx="0">
                  <c:v>HSAe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Calculator!$D$13:$D$18</c:f>
              <c:numCache>
                <c:formatCode>"$"#,##0_);[Red]\("$"#,##0\)</c:formatCode>
                <c:ptCount val="6"/>
                <c:pt idx="0">
                  <c:v>-1487.08</c:v>
                </c:pt>
                <c:pt idx="1">
                  <c:v>2512.92</c:v>
                </c:pt>
                <c:pt idx="2">
                  <c:v>6512.92</c:v>
                </c:pt>
                <c:pt idx="3">
                  <c:v>5512.92</c:v>
                </c:pt>
                <c:pt idx="4">
                  <c:v>9512.92</c:v>
                </c:pt>
                <c:pt idx="5">
                  <c:v>12512.92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2-404A-984F-BB620B18BD4D}"/>
            </c:ext>
          </c:extLst>
        </c:ser>
        <c:ser>
          <c:idx val="3"/>
          <c:order val="3"/>
          <c:tx>
            <c:strRef>
              <c:f>Calculator!$E$12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Calculator!$E$13:$E$18</c:f>
              <c:numCache>
                <c:formatCode>"$"#,##0_);[Red]\("$"#,##0\)</c:formatCode>
                <c:ptCount val="6"/>
                <c:pt idx="0">
                  <c:v>2147.67</c:v>
                </c:pt>
                <c:pt idx="1">
                  <c:v>2147.67</c:v>
                </c:pt>
                <c:pt idx="2">
                  <c:v>2147.67</c:v>
                </c:pt>
                <c:pt idx="3">
                  <c:v>3647.67</c:v>
                </c:pt>
                <c:pt idx="4">
                  <c:v>3647.67</c:v>
                </c:pt>
                <c:pt idx="5">
                  <c:v>5147.67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B2-404A-984F-BB620B18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114300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213F7-BCEA-497D-8889-BD62D81F6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">
  <autoFilter ref="A1:E20" xr:uid="{00000000-0009-0000-0100-000001000000}"/>
  <tableColumns count="5">
    <tableColumn id="1" xr3:uid="{00000000-0010-0000-0000-000001000000}" name="Comparison" totalsRowLabel="Total"/>
    <tableColumn id="2" xr3:uid="{00000000-0010-0000-0000-000002000000}" name="PPO" dataDxfId="53" totalsRowDxfId="52"/>
    <tableColumn id="3" xr3:uid="{00000000-0010-0000-0000-000003000000}" name="HSA+" dataDxfId="51" totalsRowDxfId="50"/>
    <tableColumn id="4" xr3:uid="{00000000-0010-0000-0000-000004000000}" name="HSAe" dataDxfId="49" totalsRowDxfId="48"/>
    <tableColumn id="5" xr3:uid="{00000000-0010-0000-0000-000005000000}" name="HMO" dataDxfId="47" totalsRowDxfId="4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O" dataDxfId="45"/>
    <tableColumn id="3" xr3:uid="{00000000-0010-0000-0100-000003000000}" name="HSA+" dataDxfId="44"/>
    <tableColumn id="4" xr3:uid="{00000000-0010-0000-0100-000004000000}" name="HSAe" dataDxfId="43"/>
    <tableColumn id="5" xr3:uid="{00000000-0010-0000-0100-000005000000}" name="HMO" dataDxfId="4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2" totalsRowShown="0">
  <autoFilter ref="K8:P12" xr:uid="{00000000-0009-0000-0100-000003000000}"/>
  <sortState xmlns:xlrd2="http://schemas.microsoft.com/office/spreadsheetml/2017/richdata2" ref="L9:Q16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O" dataDxfId="41"/>
    <tableColumn id="3" xr3:uid="{00000000-0010-0000-0200-000003000000}" name="HSA+" dataDxfId="40"/>
    <tableColumn id="4" xr3:uid="{00000000-0010-0000-0200-000004000000}" name="HSAe" dataDxfId="39"/>
    <tableColumn id="5" xr3:uid="{00000000-0010-0000-0200-000005000000}" name="HMO" dataDxfId="3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5:P19" totalsRowShown="0" headerRowDxfId="37" headerRowBorderDxfId="36" tableBorderDxfId="35">
  <autoFilter ref="K15:P19" xr:uid="{00000000-0009-0000-0100-000004000000}"/>
  <tableColumns count="6">
    <tableColumn id="2" xr3:uid="{00000000-0010-0000-0300-000002000000}" name="Cap"/>
    <tableColumn id="1" xr3:uid="{00000000-0010-0000-0300-000001000000}" name="Provider" dataDxfId="34"/>
    <tableColumn id="3" xr3:uid="{00000000-0010-0000-0300-000003000000}" name="PPO" dataDxfId="33"/>
    <tableColumn id="4" xr3:uid="{00000000-0010-0000-0300-000004000000}" name="HSA+" dataDxfId="32"/>
    <tableColumn id="5" xr3:uid="{00000000-0010-0000-0300-000005000000}" name="HSAe" dataDxfId="31"/>
    <tableColumn id="6" xr3:uid="{00000000-0010-0000-0300-000006000000}" name="HMO" dataDxfId="3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29">
  <autoFilter ref="I4:I11" xr:uid="{00000000-0009-0000-0100-000005000000}"/>
  <tableColumns count="1">
    <tableColumn id="1" xr3:uid="{00000000-0010-0000-0400-000001000000}" name="Federal Tax Brackets" dataDxfId="2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9B129D-DCCF-4B7A-880D-65B66ACC195F}" name="Table2139" displayName="Table2139" ref="I14:M19" totalsRowShown="0">
  <autoFilter ref="I14:M19" xr:uid="{D5EAF9D6-A011-4B56-A0D7-CFBDA22B0CA8}"/>
  <tableColumns count="5">
    <tableColumn id="1" xr3:uid="{30907A08-2DC8-43FD-8D3B-59EB5A053ADC}" name="Salary tier"/>
    <tableColumn id="2" xr3:uid="{1D578247-7478-4503-99EE-3646B535C5B0}" name="SPPO -&gt; PPO" dataDxfId="27" dataCellStyle="Percent">
      <calculatedColumnFormula>C15/D25-1</calculatedColumnFormula>
    </tableColumn>
    <tableColumn id="3" xr3:uid="{8E421B51-E87F-436B-8B2A-74A244446A12}" name="VPPO-&gt;HSA+" dataDxfId="26">
      <calculatedColumnFormula>D15/E25-1</calculatedColumnFormula>
    </tableColumn>
    <tableColumn id="4" xr3:uid="{24060248-B27B-4DFD-AA0F-8D33DEBC9333}" name="VPPO-&gt;HSAe" dataDxfId="25">
      <calculatedColumnFormula>E15/E25-1</calculatedColumnFormula>
    </tableColumn>
    <tableColumn id="5" xr3:uid="{9C7E31E7-4C3D-4180-865E-E966EE9EE6D0}" name="HMO-&gt;HMO" dataDxfId="24">
      <calculatedColumnFormula>F15/F25-1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B88D164-013F-48EA-962A-C97F22DD31E5}" name="Table2131221" displayName="Table2131221" ref="I24:M29" totalsRowShown="0">
  <autoFilter ref="I24:M29" xr:uid="{0DE184C8-FF89-42C1-87CF-BF51FF85BFBA}"/>
  <tableColumns count="5">
    <tableColumn id="1" xr3:uid="{465F13D2-8FDE-4448-B41C-D9B8CD21A0B3}" name="Salary tier"/>
    <tableColumn id="2" xr3:uid="{4EDAC8A6-1B5A-4684-9DF0-028C7C4EAFAE}" name="PPPO" dataDxfId="23" dataCellStyle="Percent">
      <calculatedColumnFormula>VLOOKUP(Year1BCBS&amp;$H25,$A$1:$F$968,COLUMN(C$25),0)/VLOOKUP(Year2BCBS&amp;$H25,$A$1:$F$968,COLUMN(C$25),0)-1</calculatedColumnFormula>
    </tableColumn>
    <tableColumn id="3" xr3:uid="{2F8DEF57-B37B-4D14-819C-64DE062C7619}" name="SPPO" dataDxfId="22" dataCellStyle="Percent">
      <calculatedColumnFormula>VLOOKUP(Year1BCBS&amp;$H25,$A$1:$F$968,COLUMN(D$25),0)/VLOOKUP(Year2BCBS&amp;$H25,$A$1:$F$968,COLUMN(D$25),0)-1</calculatedColumnFormula>
    </tableColumn>
    <tableColumn id="4" xr3:uid="{75F24C70-AF0B-422A-BB20-1FDBFB8CEEF1}" name="VPPO" dataDxfId="21" dataCellStyle="Percent">
      <calculatedColumnFormula>VLOOKUP(Year1BCBS&amp;$H25,$A$1:$F$968,COLUMN(E$25),0)/VLOOKUP(Year2BCBS&amp;$H25,$A$1:$F$968,COLUMN(E$25),0)-1</calculatedColumnFormula>
    </tableColumn>
    <tableColumn id="5" xr3:uid="{3E101C0E-AD46-45E1-88FD-9495EDAF407C}" name="HMO" dataDxfId="20" dataCellStyle="Percent">
      <calculatedColumnFormula>VLOOKUP(Year1BCBS&amp;$H25,$A$1:$F$968,COLUMN(F$25),0)/VLOOKUP(Year2BCBS&amp;$H25,$A$1:$F$968,COLUMN(F$25),0)-1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7FDD7B-E295-4873-B6AD-7A98DDFD0FB7}" name="Table2108911" displayName="Table2108911" ref="B4:F9" totalsRowShown="0">
  <autoFilter ref="B4:F9" xr:uid="{2EFDE180-E51C-4B2B-88A1-BF00B00D4DD6}"/>
  <tableColumns count="5">
    <tableColumn id="1" xr3:uid="{0B7472E0-048F-43D3-AF7D-CFDEB6197C37}" name="Salary tier"/>
    <tableColumn id="2" xr3:uid="{008CBC25-B9ED-4A0E-B88B-B9F661ACD73C}" name="PPO" dataDxfId="19"/>
    <tableColumn id="3" xr3:uid="{CD00E940-D3F8-415B-826B-68A02996E6C0}" name="HSA+" dataDxfId="18"/>
    <tableColumn id="4" xr3:uid="{8BF70027-322D-44A9-A40A-2610A3E86E78}" name="HSAe" dataDxfId="17"/>
    <tableColumn id="5" xr3:uid="{D074363A-4830-413D-BC22-63AFC1E54603}" name="HMO" dataDxfId="1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039083-6BEB-4D19-AC5A-899561DCF4A7}" name="Table2131214" displayName="Table2131214" ref="I4:M9" totalsRowShown="0">
  <autoFilter ref="I4:M9" xr:uid="{0397152A-D7BB-40C1-8867-984FD4DA2C78}"/>
  <tableColumns count="5">
    <tableColumn id="1" xr3:uid="{56F6053A-4676-475A-A8C2-805D4C28F9C7}" name="Salary tier"/>
    <tableColumn id="2" xr3:uid="{FB213A3B-E9E1-40AD-8AD4-F7437C0D82E0}" name="PPO" dataDxfId="15" dataCellStyle="Percent">
      <calculatedColumnFormula>VLOOKUP(Year1UHC&amp;$H5,$A$1:$F$968,COLUMN(C$5),0)/VLOOKUP(Year2UHC&amp;$H5,$A$1:$F$968,COLUMN(C$5),0)-1</calculatedColumnFormula>
    </tableColumn>
    <tableColumn id="3" xr3:uid="{25FA6796-DEFA-4C96-AA76-B1A4932D6CF3}" name="HSA+" dataDxfId="14" dataCellStyle="Percent">
      <calculatedColumnFormula>VLOOKUP(Year1UHC&amp;$H5,$A$1:$F$968,COLUMN(D$5),0)/VLOOKUP(Year2UHC&amp;$H5,$A$1:$F$968,COLUMN(D$5),0)-1</calculatedColumnFormula>
    </tableColumn>
    <tableColumn id="4" xr3:uid="{4F766B62-B6E4-4774-8A18-418DAC9BF006}" name="HSAe" dataDxfId="13" dataCellStyle="Percent">
      <calculatedColumnFormula>VLOOKUP(Year1UHC&amp;$H5,$A$1:$F$968,COLUMN(E$5),0)/VLOOKUP(Year2UHC&amp;$H5,$A$1:$F$968,COLUMN(E$5),0)-1</calculatedColumnFormula>
    </tableColumn>
    <tableColumn id="5" xr3:uid="{B3CD7A5F-ACA1-48E5-B758-D8BBA5DF44D0}" name="HMO" dataDxfId="12" dataCellStyle="Percent">
      <calculatedColumnFormula>VLOOKUP(Year1UHC&amp;$H5,$A$1:$F$968,COLUMN(F$5),0)/VLOOKUP(Year2UHC&amp;$H5,$A$1:$F$968,COLUMN(F$5),0)-1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165A48E-EBD6-4DC0-8CBB-1A10C049D91A}" name="Table2101124" displayName="Table2101124" ref="B34:F39" totalsRowShown="0">
  <autoFilter ref="B34:F39" xr:uid="{5165A48E-EBD6-4DC0-8CBB-1A10C049D91A}"/>
  <tableColumns count="5">
    <tableColumn id="1" xr3:uid="{FEBBF9A0-707E-40FF-ACBB-D72BF6BADA21}" name="Salary tier"/>
    <tableColumn id="2" xr3:uid="{4028C268-3321-43C8-B1DC-BE47C98FFDD6}" name="PPPO" dataDxfId="11"/>
    <tableColumn id="3" xr3:uid="{EA04A333-CEE2-43D6-8243-34A032FCC0A8}" name="SPPO" dataDxfId="10"/>
    <tableColumn id="4" xr3:uid="{C33449C1-12E0-418C-B818-14B211BF4140}" name="VPPO" dataDxfId="9"/>
    <tableColumn id="5" xr3:uid="{4CD6B241-B384-4601-96A6-F9969298956C}" name="HMO" dataDxfId="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7F42D45-E402-42D6-98E9-BF347BC356E2}" name="Table21081425" displayName="Table21081425" ref="B24:F29" totalsRowShown="0">
  <autoFilter ref="B24:F29" xr:uid="{C7F42D45-E402-42D6-98E9-BF347BC356E2}"/>
  <tableColumns count="5">
    <tableColumn id="1" xr3:uid="{A419F782-73EF-45F8-AB27-4F32615A54D2}" name="Salary tier"/>
    <tableColumn id="2" xr3:uid="{B0C976AD-E97E-4853-AAD0-A299882E3A96}" name="PPPO" dataDxfId="7"/>
    <tableColumn id="3" xr3:uid="{05AE943B-C1DD-4204-9C20-42A9656D990C}" name="SPPO" dataDxfId="6"/>
    <tableColumn id="4" xr3:uid="{147000D1-683B-4ACE-9A9E-C34450D284E1}" name="VPPO" dataDxfId="5"/>
    <tableColumn id="5" xr3:uid="{97477C2D-80D5-4178-B6D6-E0A55C3DB44F}" name="HMO" dataDxfId="4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A854CAC-04A2-47D8-BB37-CB7521C96845}" name="Table210891526" displayName="Table210891526" ref="B14:F19" totalsRowShown="0">
  <autoFilter ref="B14:F19" xr:uid="{EA854CAC-04A2-47D8-BB37-CB7521C96845}"/>
  <tableColumns count="5">
    <tableColumn id="1" xr3:uid="{A927929F-7790-48DB-BD86-1A558B4DE6D7}" name="Salary tier"/>
    <tableColumn id="2" xr3:uid="{D6FD25AA-0398-4A5B-A50E-875649D0C692}" name="PPO" dataDxfId="3"/>
    <tableColumn id="3" xr3:uid="{9DDCEE2F-7963-486D-B5C9-B97908E417BF}" name="HSA+" dataDxfId="2"/>
    <tableColumn id="4" xr3:uid="{B2BDBBB3-A32E-4FDF-9736-6813C56EE1B4}" name="HSAe" dataDxfId="1"/>
    <tableColumn id="5" xr3:uid="{8216D0E6-66F4-41DA-A621-8CF856AF2153}" name="HM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zoomScale="110" zoomScaleNormal="110" workbookViewId="0"/>
  </sheetViews>
  <sheetFormatPr defaultRowHeight="15"/>
  <cols>
    <col min="1" max="1" width="31.140625" customWidth="1"/>
    <col min="2" max="5" width="10" customWidth="1"/>
    <col min="7" max="8" width="20.28515625" customWidth="1"/>
    <col min="9" max="9" width="25" customWidth="1"/>
    <col min="11" max="11" width="14.85546875" customWidth="1"/>
    <col min="12" max="12" width="15.42578125" bestFit="1" customWidth="1"/>
    <col min="13" max="16" width="10" customWidth="1"/>
    <col min="18" max="18" width="11.85546875" customWidth="1"/>
  </cols>
  <sheetData>
    <row r="1" spans="1:16" ht="30">
      <c r="A1" t="s">
        <v>1</v>
      </c>
      <c r="B1" t="s">
        <v>34</v>
      </c>
      <c r="C1" t="s">
        <v>40</v>
      </c>
      <c r="D1" t="s">
        <v>41</v>
      </c>
      <c r="E1" t="s">
        <v>0</v>
      </c>
      <c r="G1" s="9" t="s">
        <v>6</v>
      </c>
      <c r="H1" s="9" t="s">
        <v>15</v>
      </c>
      <c r="I1" s="9" t="s">
        <v>20</v>
      </c>
      <c r="L1" t="s">
        <v>10</v>
      </c>
      <c r="M1" t="s">
        <v>34</v>
      </c>
      <c r="N1" t="s">
        <v>40</v>
      </c>
      <c r="O1" t="s">
        <v>41</v>
      </c>
      <c r="P1" t="s">
        <v>0</v>
      </c>
    </row>
    <row r="2" spans="1:16">
      <c r="A2" t="s">
        <v>56</v>
      </c>
      <c r="B2" s="3">
        <f>VLOOKUP($G$2,Table2[#All],COLUMN(),0)</f>
        <v>265</v>
      </c>
      <c r="C2" s="3">
        <f>VLOOKUP($G$2,Table2[#All],COLUMN(),0)</f>
        <v>188</v>
      </c>
      <c r="D2" s="3">
        <f>VLOOKUP($G$2,Table2[#All],COLUMN(),0)</f>
        <v>120</v>
      </c>
      <c r="E2" s="3">
        <f>VLOOKUP($G$2,Table2[#All],COLUMN(),0)</f>
        <v>245</v>
      </c>
      <c r="G2" s="10" t="s">
        <v>11</v>
      </c>
      <c r="H2" s="10" t="s">
        <v>18</v>
      </c>
      <c r="I2" s="14">
        <v>0.22</v>
      </c>
      <c r="L2" t="s">
        <v>12</v>
      </c>
      <c r="M2" s="1">
        <v>144</v>
      </c>
      <c r="N2" s="1">
        <v>86</v>
      </c>
      <c r="O2" s="1">
        <v>61</v>
      </c>
      <c r="P2" s="1">
        <v>110</v>
      </c>
    </row>
    <row r="3" spans="1:16">
      <c r="A3" t="s">
        <v>57</v>
      </c>
      <c r="B3" s="3"/>
      <c r="C3" s="3">
        <f>G6/12</f>
        <v>166.66666666666666</v>
      </c>
      <c r="D3" s="3">
        <f>G6/12</f>
        <v>166.66666666666666</v>
      </c>
      <c r="E3" s="3"/>
      <c r="L3" t="s">
        <v>11</v>
      </c>
      <c r="M3" s="1">
        <v>265</v>
      </c>
      <c r="N3" s="1">
        <v>188</v>
      </c>
      <c r="O3" s="1">
        <v>120</v>
      </c>
      <c r="P3" s="1">
        <v>245</v>
      </c>
    </row>
    <row r="4" spans="1:16">
      <c r="A4" t="s">
        <v>3</v>
      </c>
      <c r="B4" s="3">
        <f>B2*12</f>
        <v>3180</v>
      </c>
      <c r="C4" s="3">
        <f>C2*12</f>
        <v>2256</v>
      </c>
      <c r="D4" s="3">
        <f>D2*12</f>
        <v>1440</v>
      </c>
      <c r="E4" s="3">
        <f>E2*12</f>
        <v>2940</v>
      </c>
      <c r="G4" s="9" t="s">
        <v>24</v>
      </c>
      <c r="I4" s="13" t="s">
        <v>21</v>
      </c>
      <c r="L4" t="s">
        <v>26</v>
      </c>
      <c r="M4" s="1">
        <v>449</v>
      </c>
      <c r="N4" s="1">
        <v>339</v>
      </c>
      <c r="O4" s="1">
        <v>268</v>
      </c>
      <c r="P4" s="1">
        <v>397</v>
      </c>
    </row>
    <row r="5" spans="1:16">
      <c r="A5" t="s">
        <v>22</v>
      </c>
      <c r="B5" s="11">
        <f>-1 * B4 * ($I$2 + 4.95%)</f>
        <v>-857.0100000000001</v>
      </c>
      <c r="C5" s="11">
        <f t="shared" ref="C5:E5" si="0">-1 * C4 * ($I$2 + 4.95%)</f>
        <v>-607.99200000000008</v>
      </c>
      <c r="D5" s="11">
        <f t="shared" si="0"/>
        <v>-388.08000000000004</v>
      </c>
      <c r="E5" s="11">
        <f t="shared" si="0"/>
        <v>-792.33</v>
      </c>
      <c r="G5" s="9" t="s">
        <v>25</v>
      </c>
      <c r="I5" s="12">
        <v>0.1</v>
      </c>
      <c r="L5" t="s">
        <v>13</v>
      </c>
      <c r="M5" s="1">
        <v>632</v>
      </c>
      <c r="N5" s="1">
        <v>511</v>
      </c>
      <c r="O5" s="1">
        <v>421</v>
      </c>
      <c r="P5" s="1">
        <v>580</v>
      </c>
    </row>
    <row r="6" spans="1:16">
      <c r="A6" t="s">
        <v>2</v>
      </c>
      <c r="B6" s="4"/>
      <c r="C6" s="3">
        <f>-1*MIN(G6, 2000)</f>
        <v>-2000</v>
      </c>
      <c r="D6" s="3">
        <f>-1*MIN(G6, 2000)</f>
        <v>-2000</v>
      </c>
      <c r="E6" s="4"/>
      <c r="G6" s="16">
        <v>2000</v>
      </c>
      <c r="I6" s="12">
        <v>0.12</v>
      </c>
      <c r="L6" t="s">
        <v>14</v>
      </c>
      <c r="M6" s="1">
        <v>990</v>
      </c>
      <c r="N6" s="1">
        <v>794</v>
      </c>
      <c r="O6" s="1">
        <v>672</v>
      </c>
      <c r="P6" s="1">
        <v>916</v>
      </c>
    </row>
    <row r="7" spans="1:16">
      <c r="A7" t="s">
        <v>23</v>
      </c>
      <c r="B7" s="7"/>
      <c r="C7" s="11">
        <f>-1 * G6 * ($I$2 + 4.95%)</f>
        <v>-539</v>
      </c>
      <c r="D7" s="11">
        <f>-1 * G6 * ($I$2 + 4.95%)</f>
        <v>-539</v>
      </c>
      <c r="E7" s="7"/>
      <c r="G7" s="2" t="s">
        <v>63</v>
      </c>
      <c r="H7" s="17">
        <v>7000</v>
      </c>
      <c r="I7" s="12">
        <v>0.22</v>
      </c>
    </row>
    <row r="8" spans="1:16">
      <c r="A8" t="s">
        <v>53</v>
      </c>
      <c r="B8" s="5">
        <f>VLOOKUP($H$2,$L$9:$P$10,COLUMN(),0)</f>
        <v>750</v>
      </c>
      <c r="C8" s="5">
        <f>VLOOKUP($H$2,$L$9:$P$10,COLUMN(),0)</f>
        <v>2000</v>
      </c>
      <c r="D8" s="5">
        <f>VLOOKUP($H$2,$L$9:$P$10,COLUMN(),0)</f>
        <v>4000</v>
      </c>
      <c r="E8" s="5">
        <f>VLOOKUP($H$2,$L$9:$P$10,COLUMN(),0)</f>
        <v>0</v>
      </c>
      <c r="G8" s="2" t="s">
        <v>45</v>
      </c>
      <c r="I8" s="12">
        <v>0.24</v>
      </c>
      <c r="K8" t="s">
        <v>17</v>
      </c>
      <c r="L8" t="s">
        <v>16</v>
      </c>
      <c r="M8" t="s">
        <v>34</v>
      </c>
      <c r="N8" t="s">
        <v>40</v>
      </c>
      <c r="O8" t="s">
        <v>41</v>
      </c>
      <c r="P8" t="s">
        <v>0</v>
      </c>
    </row>
    <row r="9" spans="1:16">
      <c r="A9" t="s">
        <v>52</v>
      </c>
      <c r="B9" s="5">
        <f>VLOOKUP($H$2,$L$11:$P$12,COLUMN(),0)</f>
        <v>1500</v>
      </c>
      <c r="C9" s="5">
        <f>VLOOKUP($H$2,$L$11:$P$12,COLUMN(),0)</f>
        <v>4000</v>
      </c>
      <c r="D9" s="5">
        <f>VLOOKUP($H$2,$L$11:$P$12,COLUMN(),0)</f>
        <v>8000</v>
      </c>
      <c r="E9" s="5">
        <f>VLOOKUP($H$2,$L$11:$P$12,COLUMN(),0)</f>
        <v>0</v>
      </c>
      <c r="I9" s="12">
        <v>0.32</v>
      </c>
      <c r="K9" t="s">
        <v>46</v>
      </c>
      <c r="L9" t="s">
        <v>18</v>
      </c>
      <c r="M9" s="1">
        <v>750</v>
      </c>
      <c r="N9" s="1">
        <v>2000</v>
      </c>
      <c r="O9" s="1">
        <v>4000</v>
      </c>
      <c r="P9" s="1">
        <v>0</v>
      </c>
    </row>
    <row r="10" spans="1:16">
      <c r="A10" t="s">
        <v>55</v>
      </c>
      <c r="B10" s="5">
        <f>VLOOKUP($H$2,$L$16:$P$17,COLUMN(),0)</f>
        <v>3000</v>
      </c>
      <c r="C10" s="5">
        <f>VLOOKUP($H$2,$L$16:$P$17,COLUMN(),0)</f>
        <v>4000</v>
      </c>
      <c r="D10" s="5">
        <f>VLOOKUP($H$2,$L$16:$P$17,COLUMN(),0)</f>
        <v>7000</v>
      </c>
      <c r="E10" s="5">
        <f>VLOOKUP($H$2,$L$16:$P$17,COLUMN(),0)</f>
        <v>1500</v>
      </c>
      <c r="I10" s="12">
        <v>0.35</v>
      </c>
      <c r="K10" t="s">
        <v>46</v>
      </c>
      <c r="L10" t="s">
        <v>19</v>
      </c>
      <c r="M10" s="1">
        <v>1500</v>
      </c>
      <c r="N10" s="1">
        <v>4000</v>
      </c>
      <c r="O10" s="1">
        <v>8000</v>
      </c>
      <c r="P10" s="1" t="e">
        <v>#N/A</v>
      </c>
    </row>
    <row r="11" spans="1:16">
      <c r="A11" t="s">
        <v>54</v>
      </c>
      <c r="B11" s="5">
        <f>VLOOKUP($H$2,$L$18:$P$19,COLUMN(),0)</f>
        <v>6000</v>
      </c>
      <c r="C11" s="5">
        <f>VLOOKUP($H$2,$L$18:$P$19,COLUMN(),0)</f>
        <v>8000</v>
      </c>
      <c r="D11" s="5">
        <f>VLOOKUP($H$2,$L$18:$P$19,COLUMN(),0)</f>
        <v>14000</v>
      </c>
      <c r="E11" s="5">
        <f>VLOOKUP($H$2,$L$18:$P$19,COLUMN(),0)</f>
        <v>3000</v>
      </c>
      <c r="I11" s="12">
        <v>0.37</v>
      </c>
      <c r="K11" t="s">
        <v>43</v>
      </c>
      <c r="L11" t="s">
        <v>18</v>
      </c>
      <c r="M11" s="1">
        <v>1500</v>
      </c>
      <c r="N11" s="1">
        <v>4000</v>
      </c>
      <c r="O11" s="1">
        <v>8000</v>
      </c>
      <c r="P11" s="1">
        <v>0</v>
      </c>
    </row>
    <row r="12" spans="1:16">
      <c r="B12" s="6" t="str">
        <f>Table1[[#Headers],[PPO]]</f>
        <v>PPO</v>
      </c>
      <c r="C12" s="6" t="str">
        <f>Table1[[#Headers],[HSA+]]</f>
        <v>HSA+</v>
      </c>
      <c r="D12" s="6" t="str">
        <f>Table1[[#Headers],[HSAe]]</f>
        <v>HSAe</v>
      </c>
      <c r="E12" s="6" t="str">
        <f>Table1[[#Headers],[HMO]]</f>
        <v>HMO</v>
      </c>
      <c r="K12" t="s">
        <v>43</v>
      </c>
      <c r="L12" t="s">
        <v>19</v>
      </c>
      <c r="M12" s="1">
        <v>3000</v>
      </c>
      <c r="N12" s="1">
        <v>8000</v>
      </c>
      <c r="O12" s="1">
        <v>16000</v>
      </c>
      <c r="P12" s="1" t="e">
        <v>#N/A</v>
      </c>
    </row>
    <row r="13" spans="1:16">
      <c r="A13" t="s">
        <v>4</v>
      </c>
      <c r="B13" s="3">
        <f>SUM(B4:B7)</f>
        <v>2322.9899999999998</v>
      </c>
      <c r="C13" s="3">
        <f>SUM(C4:C7)</f>
        <v>-890.99200000000019</v>
      </c>
      <c r="D13" s="3">
        <f>SUM(D4:D7)</f>
        <v>-1487.08</v>
      </c>
      <c r="E13" s="3">
        <f>SUM(E4:E7)</f>
        <v>2147.67</v>
      </c>
      <c r="M13" s="1"/>
      <c r="N13" s="1"/>
      <c r="O13" s="1"/>
      <c r="P13" s="1"/>
    </row>
    <row r="14" spans="1:16">
      <c r="A14" t="s">
        <v>48</v>
      </c>
      <c r="B14" s="3">
        <f>SUM(B4:B8)</f>
        <v>3072.99</v>
      </c>
      <c r="C14" s="3">
        <f>SUM(C4:C7,C9)</f>
        <v>3109.0079999999998</v>
      </c>
      <c r="D14" s="3">
        <f>SUM(D4:D8)</f>
        <v>2512.92</v>
      </c>
      <c r="E14" s="3">
        <f>SUM(E4:E8)</f>
        <v>2147.67</v>
      </c>
      <c r="J14" s="2"/>
    </row>
    <row r="15" spans="1:16" ht="15" customHeight="1">
      <c r="A15" t="s">
        <v>49</v>
      </c>
      <c r="B15" s="3">
        <f>SUM(B4:B7) + MIN(B8*2,B9)</f>
        <v>3822.99</v>
      </c>
      <c r="C15" s="3">
        <f>SUM(C4:C7) + C9</f>
        <v>3109.0079999999998</v>
      </c>
      <c r="D15" s="3">
        <f>SUM(D4:D7) + MIN(D8*2,D9)</f>
        <v>6512.92</v>
      </c>
      <c r="E15" s="3">
        <f>SUM(E4:E7) + MIN(E8*2,E9)</f>
        <v>2147.67</v>
      </c>
      <c r="H15" s="2"/>
      <c r="I15" s="2"/>
      <c r="J15" s="2"/>
      <c r="K15" s="8" t="s">
        <v>17</v>
      </c>
      <c r="L15" s="8" t="s">
        <v>16</v>
      </c>
      <c r="M15" t="s">
        <v>34</v>
      </c>
      <c r="N15" t="s">
        <v>40</v>
      </c>
      <c r="O15" t="s">
        <v>41</v>
      </c>
      <c r="P15" t="s">
        <v>0</v>
      </c>
    </row>
    <row r="16" spans="1:16">
      <c r="A16" t="s">
        <v>50</v>
      </c>
      <c r="B16" s="3">
        <f>SUM(B4:B7,B10)</f>
        <v>5322.99</v>
      </c>
      <c r="C16" s="3">
        <f>SUM(C4:C7,C10)</f>
        <v>3109.0079999999998</v>
      </c>
      <c r="D16" s="3">
        <f>SUM(D4:D7,D10)</f>
        <v>5512.92</v>
      </c>
      <c r="E16" s="3">
        <f>SUM(E4:E7,E10)</f>
        <v>3647.67</v>
      </c>
      <c r="K16" t="s">
        <v>47</v>
      </c>
      <c r="L16" t="s">
        <v>18</v>
      </c>
      <c r="M16" s="1">
        <v>3000</v>
      </c>
      <c r="N16" s="1">
        <v>4000</v>
      </c>
      <c r="O16" s="1">
        <v>7000</v>
      </c>
      <c r="P16" s="1">
        <v>1500</v>
      </c>
    </row>
    <row r="17" spans="1:16">
      <c r="A17" t="s">
        <v>58</v>
      </c>
      <c r="B17" s="3">
        <f>SUM(B4:B7) + MIN(SUM(B8,B10),B11)</f>
        <v>6072.99</v>
      </c>
      <c r="C17" s="3">
        <f>SUM(C4:C7) + MIN(IF(C10&gt;=C9,C10,C9),C11)</f>
        <v>3109.0079999999998</v>
      </c>
      <c r="D17" s="3">
        <f>SUM(D4:D7) + MIN(SUM(D8,D10),D11)</f>
        <v>9512.92</v>
      </c>
      <c r="E17" s="3">
        <f>SUM(E4:E7) + MIN(SUM(E8,E10),E11)</f>
        <v>3647.67</v>
      </c>
      <c r="K17" t="s">
        <v>47</v>
      </c>
      <c r="L17" t="s">
        <v>19</v>
      </c>
      <c r="M17" s="1">
        <v>6000</v>
      </c>
      <c r="N17" s="1">
        <v>8000</v>
      </c>
      <c r="O17" s="1">
        <v>14000</v>
      </c>
      <c r="P17" s="1" t="e">
        <v>#N/A</v>
      </c>
    </row>
    <row r="18" spans="1:16">
      <c r="A18" t="s">
        <v>51</v>
      </c>
      <c r="B18" s="3">
        <f>SUM(B4:B7) + MIN(B10*2,B11)</f>
        <v>8322.99</v>
      </c>
      <c r="C18" s="3">
        <f>SUM(C4:C7) + MIN(C10*2,C11)</f>
        <v>7109.0079999999998</v>
      </c>
      <c r="D18" s="3">
        <f>SUM(D4:D7) + MIN(D10*2,D11)</f>
        <v>12512.92</v>
      </c>
      <c r="E18" s="3">
        <f>SUM(E4:E7) + MIN(E10*2,E11)</f>
        <v>5147.67</v>
      </c>
      <c r="F18" s="2"/>
      <c r="G18" s="2"/>
      <c r="K18" t="s">
        <v>44</v>
      </c>
      <c r="L18" t="s">
        <v>18</v>
      </c>
      <c r="M18" s="1">
        <v>6000</v>
      </c>
      <c r="N18" s="1">
        <v>8000</v>
      </c>
      <c r="O18" s="1">
        <v>14000</v>
      </c>
      <c r="P18" s="1">
        <v>3000</v>
      </c>
    </row>
    <row r="19" spans="1:16">
      <c r="B19" s="22"/>
      <c r="C19" s="22"/>
      <c r="D19" s="22"/>
      <c r="E19" s="22"/>
      <c r="K19" t="s">
        <v>44</v>
      </c>
      <c r="L19" t="s">
        <v>19</v>
      </c>
      <c r="M19" s="1">
        <v>12000</v>
      </c>
      <c r="N19" s="1">
        <v>16000</v>
      </c>
      <c r="O19" s="1">
        <v>28000</v>
      </c>
      <c r="P19" s="1" t="e">
        <v>#N/A</v>
      </c>
    </row>
    <row r="20" spans="1:16">
      <c r="A20" t="s">
        <v>5</v>
      </c>
      <c r="B20" s="3">
        <f>AVERAGE(B13:B18)</f>
        <v>4822.9899999999989</v>
      </c>
      <c r="C20" s="3">
        <f>AVERAGE(C13:C18)</f>
        <v>3109.0079999999998</v>
      </c>
      <c r="D20" s="3">
        <f>AVERAGE(D13:D18)</f>
        <v>5846.2533333333331</v>
      </c>
      <c r="E20" s="3">
        <f>AVERAGE(E13:E18)</f>
        <v>3147.67</v>
      </c>
      <c r="M20" s="1"/>
      <c r="N20" s="1"/>
      <c r="O20" s="1"/>
      <c r="P20" s="1"/>
    </row>
    <row r="21" spans="1:16">
      <c r="A21" s="2" t="s">
        <v>59</v>
      </c>
      <c r="B21" s="7"/>
      <c r="C21" s="7"/>
      <c r="D21" s="7"/>
      <c r="E21" s="7"/>
    </row>
    <row r="22" spans="1:16">
      <c r="A22" s="2" t="s">
        <v>64</v>
      </c>
      <c r="B22" s="7"/>
      <c r="C22" s="7"/>
      <c r="D22" s="7"/>
      <c r="E22" s="7"/>
    </row>
    <row r="23" spans="1:16">
      <c r="A23" s="2" t="s">
        <v>62</v>
      </c>
      <c r="B23" s="7"/>
      <c r="C23" s="7"/>
      <c r="D23" s="7"/>
      <c r="E23" s="7"/>
    </row>
    <row r="24" spans="1:16">
      <c r="A24" s="2" t="s">
        <v>60</v>
      </c>
      <c r="B24" s="7"/>
      <c r="C24" s="7"/>
      <c r="D24" s="7"/>
      <c r="E24" s="7"/>
    </row>
    <row r="25" spans="1:16">
      <c r="A25" s="2" t="s">
        <v>65</v>
      </c>
      <c r="B25" s="7"/>
      <c r="C25" s="7"/>
      <c r="D25" s="7"/>
      <c r="E25" s="7"/>
    </row>
    <row r="26" spans="1:16">
      <c r="B26" s="15"/>
      <c r="C26" s="15"/>
      <c r="D26" s="15"/>
      <c r="E26" s="15"/>
    </row>
    <row r="27" spans="1:16">
      <c r="B27" s="15"/>
      <c r="C27" s="15"/>
      <c r="D27" s="15"/>
      <c r="E27" s="15"/>
    </row>
    <row r="28" spans="1:16">
      <c r="B28" s="7"/>
      <c r="C28" s="7"/>
      <c r="D28" s="7"/>
      <c r="E28" s="7"/>
    </row>
  </sheetData>
  <conditionalFormatting sqref="B13:E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E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E1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E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E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E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E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E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disablePrompts="1"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  <dataValidation type="list" allowBlank="1" showInputMessage="1" showErrorMessage="1" sqref="H2" xr:uid="{00000000-0002-0000-0000-000001000000}">
      <formula1>$L$9:$L$12</formula1>
    </dataValidation>
  </dataValidations>
  <pageMargins left="0.7" right="0.7" top="0.75" bottom="0.75" header="0.3" footer="0.3"/>
  <pageSetup orientation="portrait" r:id="rId1"/>
  <ignoredErrors>
    <ignoredError sqref="C14:C15 D15 C17" formula="1"/>
  </ignoredErrors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41B3-704D-490C-B551-732406D2AA04}">
  <dimension ref="A1:O39"/>
  <sheetViews>
    <sheetView zoomScale="130" zoomScaleNormal="130" workbookViewId="0"/>
  </sheetViews>
  <sheetFormatPr defaultRowHeight="15"/>
  <cols>
    <col min="2" max="2" width="12.42578125" customWidth="1"/>
    <col min="3" max="3" width="14.140625" customWidth="1"/>
    <col min="4" max="4" width="16.28515625" customWidth="1"/>
    <col min="5" max="5" width="16.42578125" customWidth="1"/>
    <col min="6" max="6" width="16.28515625" customWidth="1"/>
    <col min="7" max="8" width="14.140625" customWidth="1"/>
    <col min="9" max="13" width="14.28515625" customWidth="1"/>
  </cols>
  <sheetData>
    <row r="1" spans="1:15">
      <c r="B1" s="23">
        <v>2027</v>
      </c>
      <c r="C1" s="23"/>
      <c r="D1" s="23"/>
      <c r="E1" s="23"/>
      <c r="F1" s="23"/>
      <c r="I1" s="23" t="s">
        <v>61</v>
      </c>
      <c r="J1" s="23"/>
      <c r="K1" s="23"/>
      <c r="L1" s="23"/>
      <c r="M1" s="23"/>
      <c r="N1" s="20" t="s">
        <v>27</v>
      </c>
      <c r="O1" s="10">
        <v>2027</v>
      </c>
    </row>
    <row r="2" spans="1:15">
      <c r="B2" s="23"/>
      <c r="C2" s="23"/>
      <c r="D2" s="23"/>
      <c r="E2" s="23"/>
      <c r="F2" s="23"/>
      <c r="I2" s="23"/>
      <c r="J2" s="23"/>
      <c r="K2" s="23"/>
      <c r="L2" s="23"/>
      <c r="M2" s="23"/>
      <c r="N2" s="20" t="s">
        <v>28</v>
      </c>
      <c r="O2" s="10">
        <v>2026</v>
      </c>
    </row>
    <row r="4" spans="1:15">
      <c r="B4" t="s">
        <v>10</v>
      </c>
      <c r="C4" t="s">
        <v>34</v>
      </c>
      <c r="D4" t="s">
        <v>40</v>
      </c>
      <c r="E4" t="s">
        <v>41</v>
      </c>
      <c r="F4" t="s">
        <v>0</v>
      </c>
      <c r="I4" t="s">
        <v>10</v>
      </c>
      <c r="J4" t="s">
        <v>34</v>
      </c>
      <c r="K4" t="s">
        <v>40</v>
      </c>
      <c r="L4" t="s">
        <v>41</v>
      </c>
      <c r="M4" t="s">
        <v>0</v>
      </c>
    </row>
    <row r="5" spans="1:15">
      <c r="A5" s="21" t="str">
        <f>B$1&amp;H15</f>
        <v>2027A</v>
      </c>
      <c r="B5" t="s">
        <v>12</v>
      </c>
      <c r="C5" s="1">
        <v>144</v>
      </c>
      <c r="D5" s="1">
        <v>86</v>
      </c>
      <c r="E5" s="1">
        <v>61</v>
      </c>
      <c r="F5" s="1">
        <v>110</v>
      </c>
      <c r="H5" s="21" t="s">
        <v>29</v>
      </c>
      <c r="I5" t="s">
        <v>12</v>
      </c>
      <c r="J5" s="18">
        <f>VLOOKUP(Year1UHC&amp;$H5,$A$1:$F$968,COLUMN(C$5),0)/VLOOKUP(Year2UHC&amp;$H5,$A$1:$F$968,COLUMN(C$5),0)-1</f>
        <v>4.3478260869565188E-2</v>
      </c>
      <c r="K5" s="18">
        <f>VLOOKUP(Year1UHC&amp;$H5,$A$1:$F$968,COLUMN(D$5),0)/VLOOKUP(Year2UHC&amp;$H5,$A$1:$F$968,COLUMN(D$5),0)-1</f>
        <v>3.6144578313253017E-2</v>
      </c>
      <c r="L5" s="18">
        <f>VLOOKUP(Year1UHC&amp;$H5,$A$1:$F$968,COLUMN(E$5),0)/VLOOKUP(Year2UHC&amp;$H5,$A$1:$F$968,COLUMN(E$5),0)-1</f>
        <v>3.3898305084745672E-2</v>
      </c>
      <c r="M5" s="18">
        <f>VLOOKUP(Year1UHC&amp;$H5,$A$1:$F$968,COLUMN(F$5),0)/VLOOKUP(Year2UHC&amp;$H5,$A$1:$F$968,COLUMN(F$5),0)-1</f>
        <v>7.8431372549019551E-2</v>
      </c>
    </row>
    <row r="6" spans="1:15">
      <c r="A6" s="21" t="str">
        <f>B$1&amp;H16</f>
        <v>2027B</v>
      </c>
      <c r="B6" t="s">
        <v>11</v>
      </c>
      <c r="C6" s="1">
        <v>265</v>
      </c>
      <c r="D6" s="1">
        <v>188</v>
      </c>
      <c r="E6" s="1">
        <v>120</v>
      </c>
      <c r="F6" s="1">
        <v>245</v>
      </c>
      <c r="H6" s="21" t="s">
        <v>30</v>
      </c>
      <c r="I6" t="s">
        <v>11</v>
      </c>
      <c r="J6" s="18">
        <f>VLOOKUP(Year1UHC&amp;$H6,$A$1:$F$968,COLUMN(C$5),0)/VLOOKUP(Year2UHC&amp;$H6,$A$1:$F$968,COLUMN(C$5),0)-1</f>
        <v>4.3307086614173151E-2</v>
      </c>
      <c r="K6" s="18">
        <f>VLOOKUP(Year1UHC&amp;$H6,$A$1:$F$968,COLUMN(D$5),0)/VLOOKUP(Year2UHC&amp;$H6,$A$1:$F$968,COLUMN(D$5),0)-1</f>
        <v>4.4444444444444509E-2</v>
      </c>
      <c r="L6" s="18">
        <f>VLOOKUP(Year1UHC&amp;$H6,$A$1:$F$968,COLUMN(E$5),0)/VLOOKUP(Year2UHC&amp;$H6,$A$1:$F$968,COLUMN(E$5),0)-1</f>
        <v>4.3478260869565188E-2</v>
      </c>
      <c r="M6" s="18">
        <f>VLOOKUP(Year1UHC&amp;$H6,$A$1:$F$968,COLUMN(F$5),0)/VLOOKUP(Year2UHC&amp;$H6,$A$1:$F$968,COLUMN(F$5),0)-1</f>
        <v>7.4561403508771829E-2</v>
      </c>
    </row>
    <row r="7" spans="1:15">
      <c r="A7" s="21" t="str">
        <f>B$1&amp;H17</f>
        <v>2027C</v>
      </c>
      <c r="B7" t="s">
        <v>26</v>
      </c>
      <c r="C7" s="1">
        <v>449</v>
      </c>
      <c r="D7" s="1">
        <v>339</v>
      </c>
      <c r="E7" s="1">
        <v>268</v>
      </c>
      <c r="F7" s="1">
        <v>397</v>
      </c>
      <c r="H7" s="21" t="s">
        <v>31</v>
      </c>
      <c r="I7" t="s">
        <v>26</v>
      </c>
      <c r="J7" s="18">
        <f>VLOOKUP(Year1UHC&amp;$H7,$A$1:$F$968,COLUMN(C$5),0)/VLOOKUP(Year2UHC&amp;$H7,$A$1:$F$968,COLUMN(C$5),0)-1</f>
        <v>4.1763341067285298E-2</v>
      </c>
      <c r="K7" s="18">
        <f>VLOOKUP(Year1UHC&amp;$H7,$A$1:$F$968,COLUMN(D$5),0)/VLOOKUP(Year2UHC&amp;$H7,$A$1:$F$968,COLUMN(D$5),0)-1</f>
        <v>4.3076923076923013E-2</v>
      </c>
      <c r="L7" s="18">
        <f>VLOOKUP(Year1UHC&amp;$H7,$A$1:$F$968,COLUMN(E$5),0)/VLOOKUP(Year2UHC&amp;$H7,$A$1:$F$968,COLUMN(E$5),0)-1</f>
        <v>4.2801556420233533E-2</v>
      </c>
      <c r="M7" s="18">
        <f>VLOOKUP(Year1UHC&amp;$H7,$A$1:$F$968,COLUMN(F$5),0)/VLOOKUP(Year2UHC&amp;$H7,$A$1:$F$968,COLUMN(F$5),0)-1</f>
        <v>7.5880758807588045E-2</v>
      </c>
    </row>
    <row r="8" spans="1:15">
      <c r="A8" s="21" t="str">
        <f>B$1&amp;H18</f>
        <v>2027D</v>
      </c>
      <c r="B8" t="s">
        <v>13</v>
      </c>
      <c r="C8" s="1">
        <v>632</v>
      </c>
      <c r="D8" s="1">
        <v>511</v>
      </c>
      <c r="E8" s="1">
        <v>421</v>
      </c>
      <c r="F8" s="1">
        <v>580</v>
      </c>
      <c r="H8" s="21" t="s">
        <v>32</v>
      </c>
      <c r="I8" t="s">
        <v>13</v>
      </c>
      <c r="J8" s="18">
        <f>VLOOKUP(Year1UHC&amp;$H8,$A$1:$F$968,COLUMN(C$5),0)/VLOOKUP(Year2UHC&amp;$H8,$A$1:$F$968,COLUMN(C$5),0)-1</f>
        <v>4.1186161449752845E-2</v>
      </c>
      <c r="K8" s="18">
        <f>VLOOKUP(Year1UHC&amp;$H8,$A$1:$F$968,COLUMN(D$5),0)/VLOOKUP(Year2UHC&amp;$H8,$A$1:$F$968,COLUMN(D$5),0)-1</f>
        <v>4.2857142857142927E-2</v>
      </c>
      <c r="L8" s="18">
        <f>VLOOKUP(Year1UHC&amp;$H8,$A$1:$F$968,COLUMN(E$5),0)/VLOOKUP(Year2UHC&amp;$H8,$A$1:$F$968,COLUMN(E$5),0)-1</f>
        <v>4.2079207920792117E-2</v>
      </c>
      <c r="M8" s="18">
        <f>VLOOKUP(Year1UHC&amp;$H8,$A$1:$F$968,COLUMN(F$5),0)/VLOOKUP(Year2UHC&amp;$H8,$A$1:$F$968,COLUMN(F$5),0)-1</f>
        <v>7.4074074074074181E-2</v>
      </c>
    </row>
    <row r="9" spans="1:15">
      <c r="A9" s="21" t="str">
        <f>B$1&amp;H19</f>
        <v>2027E</v>
      </c>
      <c r="B9" t="s">
        <v>14</v>
      </c>
      <c r="C9" s="1">
        <v>990</v>
      </c>
      <c r="D9" s="1">
        <v>794</v>
      </c>
      <c r="E9" s="1">
        <v>672</v>
      </c>
      <c r="F9" s="1">
        <v>916</v>
      </c>
      <c r="H9" s="21" t="s">
        <v>33</v>
      </c>
      <c r="I9" t="s">
        <v>14</v>
      </c>
      <c r="J9" s="18">
        <f>VLOOKUP(Year1UHC&amp;$H9,$A$1:$F$968,COLUMN(C$5),0)/VLOOKUP(Year2UHC&amp;$H9,$A$1:$F$968,COLUMN(C$5),0)-1</f>
        <v>4.2105263157894646E-2</v>
      </c>
      <c r="K9" s="18">
        <f>VLOOKUP(Year1UHC&amp;$H9,$A$1:$F$968,COLUMN(D$5),0)/VLOOKUP(Year2UHC&amp;$H9,$A$1:$F$968,COLUMN(D$5),0)-1</f>
        <v>4.1994750656167978E-2</v>
      </c>
      <c r="L9" s="18">
        <f>VLOOKUP(Year1UHC&amp;$H9,$A$1:$F$968,COLUMN(E$5),0)/VLOOKUP(Year2UHC&amp;$H9,$A$1:$F$968,COLUMN(E$5),0)-1</f>
        <v>4.1860465116279055E-2</v>
      </c>
      <c r="M9" s="18">
        <f>VLOOKUP(Year1UHC&amp;$H9,$A$1:$F$968,COLUMN(F$5),0)/VLOOKUP(Year2UHC&amp;$H9,$A$1:$F$968,COLUMN(F$5),0)-1</f>
        <v>7.5117370892018753E-2</v>
      </c>
    </row>
    <row r="11" spans="1:15" ht="15" customHeight="1">
      <c r="B11" s="23">
        <v>2026</v>
      </c>
      <c r="C11" s="23"/>
      <c r="D11" s="23"/>
      <c r="E11" s="23"/>
      <c r="F11" s="23"/>
      <c r="I11" s="23" t="s">
        <v>35</v>
      </c>
      <c r="J11" s="23"/>
      <c r="K11" s="23"/>
      <c r="L11" s="23"/>
      <c r="M11" s="23"/>
    </row>
    <row r="12" spans="1:15" ht="15" customHeight="1">
      <c r="B12" s="23"/>
      <c r="C12" s="23"/>
      <c r="D12" s="23"/>
      <c r="E12" s="23"/>
      <c r="F12" s="23"/>
      <c r="I12" s="23"/>
      <c r="J12" s="23"/>
      <c r="K12" s="23"/>
      <c r="L12" s="23"/>
      <c r="M12" s="23"/>
    </row>
    <row r="14" spans="1:15">
      <c r="B14" t="s">
        <v>10</v>
      </c>
      <c r="C14" t="s">
        <v>34</v>
      </c>
      <c r="D14" t="s">
        <v>40</v>
      </c>
      <c r="E14" t="s">
        <v>41</v>
      </c>
      <c r="F14" t="s">
        <v>0</v>
      </c>
      <c r="I14" t="s">
        <v>10</v>
      </c>
      <c r="J14" t="s">
        <v>37</v>
      </c>
      <c r="K14" t="s">
        <v>39</v>
      </c>
      <c r="L14" t="s">
        <v>42</v>
      </c>
      <c r="M14" t="s">
        <v>38</v>
      </c>
    </row>
    <row r="15" spans="1:15">
      <c r="A15" s="21" t="str">
        <f>B$11&amp;H15</f>
        <v>2026A</v>
      </c>
      <c r="B15" t="s">
        <v>12</v>
      </c>
      <c r="C15" s="1">
        <v>138</v>
      </c>
      <c r="D15" s="1">
        <v>83</v>
      </c>
      <c r="E15" s="1">
        <v>59</v>
      </c>
      <c r="F15" s="1">
        <v>102</v>
      </c>
      <c r="H15" s="21" t="s">
        <v>29</v>
      </c>
      <c r="I15" t="s">
        <v>12</v>
      </c>
      <c r="J15" s="18">
        <f t="shared" ref="J15:K19" si="0">C15/D25-1</f>
        <v>1.4705882352941124E-2</v>
      </c>
      <c r="K15" s="18">
        <f t="shared" si="0"/>
        <v>0.62745098039215685</v>
      </c>
      <c r="L15" s="18">
        <f t="shared" ref="L15:M19" si="1">E15/E25-1</f>
        <v>0.15686274509803932</v>
      </c>
      <c r="M15" s="18">
        <f t="shared" si="1"/>
        <v>-0.63176895306859204</v>
      </c>
    </row>
    <row r="16" spans="1:15">
      <c r="A16" s="21" t="str">
        <f>B$11&amp;H16</f>
        <v>2026B</v>
      </c>
      <c r="B16" t="s">
        <v>11</v>
      </c>
      <c r="C16" s="1">
        <v>254</v>
      </c>
      <c r="D16" s="1">
        <v>180</v>
      </c>
      <c r="E16" s="1">
        <v>115</v>
      </c>
      <c r="F16" s="1">
        <v>228</v>
      </c>
      <c r="H16" s="21" t="s">
        <v>30</v>
      </c>
      <c r="I16" t="s">
        <v>11</v>
      </c>
      <c r="J16" s="18">
        <f t="shared" si="0"/>
        <v>3.2520325203251987E-2</v>
      </c>
      <c r="K16" s="18">
        <f t="shared" si="0"/>
        <v>0.73076923076923084</v>
      </c>
      <c r="L16" s="18">
        <f t="shared" si="1"/>
        <v>0.10576923076923084</v>
      </c>
      <c r="M16" s="18">
        <f t="shared" si="1"/>
        <v>-0.36842105263157898</v>
      </c>
    </row>
    <row r="17" spans="1:15">
      <c r="A17" s="21" t="str">
        <f>B$11&amp;H17</f>
        <v>2026C</v>
      </c>
      <c r="B17" t="s">
        <v>26</v>
      </c>
      <c r="C17" s="1">
        <v>431</v>
      </c>
      <c r="D17" s="1">
        <v>325</v>
      </c>
      <c r="E17" s="1">
        <v>257</v>
      </c>
      <c r="F17" s="1">
        <v>369</v>
      </c>
      <c r="H17" s="21" t="s">
        <v>31</v>
      </c>
      <c r="I17" t="s">
        <v>26</v>
      </c>
      <c r="J17" s="18">
        <f t="shared" si="0"/>
        <v>9.1139240506329156E-2</v>
      </c>
      <c r="K17" s="18">
        <f t="shared" si="0"/>
        <v>0.37711864406779672</v>
      </c>
      <c r="L17" s="18">
        <f t="shared" si="1"/>
        <v>8.8983050847457612E-2</v>
      </c>
      <c r="M17" s="18">
        <f t="shared" si="1"/>
        <v>-0.21153846153846156</v>
      </c>
    </row>
    <row r="18" spans="1:15">
      <c r="A18" s="21" t="str">
        <f>B$11&amp;H18</f>
        <v>2026D</v>
      </c>
      <c r="B18" t="s">
        <v>13</v>
      </c>
      <c r="C18" s="1">
        <v>607</v>
      </c>
      <c r="D18" s="1">
        <v>490</v>
      </c>
      <c r="E18" s="1">
        <v>404</v>
      </c>
      <c r="F18" s="1">
        <v>540</v>
      </c>
      <c r="H18" s="21" t="s">
        <v>32</v>
      </c>
      <c r="I18" t="s">
        <v>13</v>
      </c>
      <c r="J18" s="18">
        <f t="shared" si="0"/>
        <v>4.2955326460481169E-2</v>
      </c>
      <c r="K18" s="18">
        <f t="shared" si="0"/>
        <v>0.30319148936170204</v>
      </c>
      <c r="L18" s="18">
        <f t="shared" si="1"/>
        <v>7.4468085106383031E-2</v>
      </c>
      <c r="M18" s="18">
        <f t="shared" si="1"/>
        <v>-9.3959731543624136E-2</v>
      </c>
    </row>
    <row r="19" spans="1:15">
      <c r="A19" s="21" t="str">
        <f>B$11&amp;H19</f>
        <v>2026E</v>
      </c>
      <c r="B19" t="s">
        <v>14</v>
      </c>
      <c r="C19" s="1">
        <v>950</v>
      </c>
      <c r="D19" s="1">
        <v>762</v>
      </c>
      <c r="E19" s="1">
        <v>645</v>
      </c>
      <c r="F19" s="1">
        <v>852</v>
      </c>
      <c r="H19" s="21" t="s">
        <v>33</v>
      </c>
      <c r="I19" t="s">
        <v>14</v>
      </c>
      <c r="J19" s="18">
        <f t="shared" si="0"/>
        <v>0.12826603325415675</v>
      </c>
      <c r="K19" s="18">
        <f t="shared" si="0"/>
        <v>0.33684210526315783</v>
      </c>
      <c r="L19" s="18">
        <f t="shared" si="1"/>
        <v>0.13157894736842102</v>
      </c>
      <c r="M19" s="18">
        <f t="shared" si="1"/>
        <v>6.7669172932330879E-2</v>
      </c>
    </row>
    <row r="21" spans="1:15" ht="15" customHeight="1">
      <c r="B21" s="23">
        <v>2025</v>
      </c>
      <c r="C21" s="23"/>
      <c r="D21" s="23"/>
      <c r="E21" s="23"/>
      <c r="F21" s="23"/>
      <c r="I21" s="23" t="s">
        <v>36</v>
      </c>
      <c r="J21" s="23"/>
      <c r="K21" s="23"/>
      <c r="L21" s="23"/>
      <c r="M21" s="23"/>
      <c r="N21" s="20" t="s">
        <v>27</v>
      </c>
      <c r="O21" s="10">
        <v>2025</v>
      </c>
    </row>
    <row r="22" spans="1:15" ht="15" customHeight="1">
      <c r="B22" s="23"/>
      <c r="C22" s="23"/>
      <c r="D22" s="23"/>
      <c r="E22" s="23"/>
      <c r="F22" s="23"/>
      <c r="I22" s="23"/>
      <c r="J22" s="23"/>
      <c r="K22" s="23"/>
      <c r="L22" s="23"/>
      <c r="M22" s="23"/>
      <c r="N22" s="20" t="s">
        <v>28</v>
      </c>
      <c r="O22" s="10">
        <v>2024</v>
      </c>
    </row>
    <row r="24" spans="1:15">
      <c r="B24" t="s">
        <v>10</v>
      </c>
      <c r="C24" t="s">
        <v>7</v>
      </c>
      <c r="D24" t="s">
        <v>8</v>
      </c>
      <c r="E24" t="s">
        <v>9</v>
      </c>
      <c r="F24" t="s">
        <v>0</v>
      </c>
      <c r="I24" t="s">
        <v>10</v>
      </c>
      <c r="J24" t="s">
        <v>7</v>
      </c>
      <c r="K24" t="s">
        <v>8</v>
      </c>
      <c r="L24" t="s">
        <v>9</v>
      </c>
      <c r="M24" t="s">
        <v>0</v>
      </c>
    </row>
    <row r="25" spans="1:15">
      <c r="A25" s="21" t="str">
        <f>B$21&amp;$H15</f>
        <v>2025A</v>
      </c>
      <c r="B25" t="s">
        <v>12</v>
      </c>
      <c r="C25" s="1">
        <v>660</v>
      </c>
      <c r="D25" s="1">
        <v>136</v>
      </c>
      <c r="E25" s="1">
        <v>51</v>
      </c>
      <c r="F25" s="1">
        <v>277</v>
      </c>
      <c r="H25" s="21" t="s">
        <v>29</v>
      </c>
      <c r="I25" t="s">
        <v>12</v>
      </c>
      <c r="J25" s="18">
        <f>VLOOKUP(Year1BCBS&amp;$H25,$A$1:$F$968,COLUMN(C$25),0)/VLOOKUP(Year2BCBS&amp;$H25,$A$1:$F$968,COLUMN(C$25),0)-1</f>
        <v>0.15384615384615374</v>
      </c>
      <c r="K25" s="18">
        <f>VLOOKUP(Year1BCBS&amp;$H25,$A$1:$F$968,COLUMN(D$25),0)/VLOOKUP(Year2BCBS&amp;$H25,$A$1:$F$968,COLUMN(D$25),0)-1</f>
        <v>0.15254237288135597</v>
      </c>
      <c r="L25" s="18">
        <f>VLOOKUP(Year1BCBS&amp;$H25,$A$1:$F$968,COLUMN(E$25),0)/VLOOKUP(Year2BCBS&amp;$H25,$A$1:$F$968,COLUMN(E$25),0)-1</f>
        <v>0.15909090909090917</v>
      </c>
      <c r="M25" s="18">
        <f>VLOOKUP(Year1BCBS&amp;$H25,$A$1:$F$968,COLUMN(F$25),0)/VLOOKUP(Year2BCBS&amp;$H25,$A$1:$F$968,COLUMN(F$25),0)-1</f>
        <v>0.15416666666666656</v>
      </c>
    </row>
    <row r="26" spans="1:15">
      <c r="A26" s="21" t="str">
        <f>B$21&amp;$H16</f>
        <v>2025B</v>
      </c>
      <c r="B26" t="s">
        <v>11</v>
      </c>
      <c r="C26" s="1">
        <v>790</v>
      </c>
      <c r="D26" s="1">
        <v>246</v>
      </c>
      <c r="E26" s="1">
        <v>104</v>
      </c>
      <c r="F26" s="1">
        <v>361</v>
      </c>
      <c r="H26" s="21" t="s">
        <v>30</v>
      </c>
      <c r="I26" t="s">
        <v>11</v>
      </c>
      <c r="J26" s="18">
        <f>VLOOKUP(Year1BCBS&amp;$H26,$A$1:$F$968,COLUMN(C$25),0)/VLOOKUP(Year2BCBS&amp;$H26,$A$1:$F$968,COLUMN(C$25),0)-1</f>
        <v>0.15328467153284664</v>
      </c>
      <c r="K26" s="18">
        <f>VLOOKUP(Year1BCBS&amp;$H26,$A$1:$F$968,COLUMN(D$25),0)/VLOOKUP(Year2BCBS&amp;$H26,$A$1:$F$968,COLUMN(D$25),0)-1</f>
        <v>0.15492957746478875</v>
      </c>
      <c r="L26" s="18">
        <f>VLOOKUP(Year1BCBS&amp;$H26,$A$1:$F$968,COLUMN(E$25),0)/VLOOKUP(Year2BCBS&amp;$H26,$A$1:$F$968,COLUMN(E$25),0)-1</f>
        <v>0.15555555555555545</v>
      </c>
      <c r="M26" s="18">
        <f>VLOOKUP(Year1BCBS&amp;$H26,$A$1:$F$968,COLUMN(F$25),0)/VLOOKUP(Year2BCBS&amp;$H26,$A$1:$F$968,COLUMN(F$25),0)-1</f>
        <v>0.15335463258785942</v>
      </c>
    </row>
    <row r="27" spans="1:15">
      <c r="A27" s="21" t="str">
        <f>B$21&amp;$H17</f>
        <v>2025C</v>
      </c>
      <c r="B27" t="s">
        <v>26</v>
      </c>
      <c r="C27" s="1">
        <v>951</v>
      </c>
      <c r="D27" s="1">
        <v>395</v>
      </c>
      <c r="E27" s="1">
        <v>236</v>
      </c>
      <c r="F27" s="1">
        <v>468</v>
      </c>
      <c r="H27" s="21" t="s">
        <v>31</v>
      </c>
      <c r="I27" t="s">
        <v>26</v>
      </c>
      <c r="J27" s="18">
        <f>VLOOKUP(Year1BCBS&amp;$H27,$A$1:$F$968,COLUMN(C$25),0)/VLOOKUP(Year2BCBS&amp;$H27,$A$1:$F$968,COLUMN(C$25),0)-1</f>
        <v>0.15272727272727282</v>
      </c>
      <c r="K27" s="18">
        <f>VLOOKUP(Year1BCBS&amp;$H27,$A$1:$F$968,COLUMN(D$25),0)/VLOOKUP(Year2BCBS&amp;$H27,$A$1:$F$968,COLUMN(D$25),0)-1</f>
        <v>0.15160349854227406</v>
      </c>
      <c r="L27" s="18">
        <f>VLOOKUP(Year1BCBS&amp;$H27,$A$1:$F$968,COLUMN(E$25),0)/VLOOKUP(Year2BCBS&amp;$H27,$A$1:$F$968,COLUMN(E$25),0)-1</f>
        <v>0.15121951219512186</v>
      </c>
      <c r="M27" s="18">
        <f>VLOOKUP(Year1BCBS&amp;$H27,$A$1:$F$968,COLUMN(F$25),0)/VLOOKUP(Year2BCBS&amp;$H27,$A$1:$F$968,COLUMN(F$25),0)-1</f>
        <v>0.15270935960591125</v>
      </c>
    </row>
    <row r="28" spans="1:15">
      <c r="A28" s="21" t="str">
        <f>B$21&amp;$H18</f>
        <v>2025D</v>
      </c>
      <c r="B28" t="s">
        <v>13</v>
      </c>
      <c r="C28" s="1">
        <v>1167</v>
      </c>
      <c r="D28" s="1">
        <v>582</v>
      </c>
      <c r="E28" s="1">
        <v>376</v>
      </c>
      <c r="F28" s="1">
        <v>596</v>
      </c>
      <c r="H28" s="21" t="s">
        <v>32</v>
      </c>
      <c r="I28" t="s">
        <v>13</v>
      </c>
      <c r="J28" s="18">
        <f>VLOOKUP(Year1BCBS&amp;$H28,$A$1:$F$968,COLUMN(C$25),0)/VLOOKUP(Year2BCBS&amp;$H28,$A$1:$F$968,COLUMN(C$25),0)-1</f>
        <v>0.15316205533596827</v>
      </c>
      <c r="K28" s="18">
        <f>VLOOKUP(Year1BCBS&amp;$H28,$A$1:$F$968,COLUMN(D$25),0)/VLOOKUP(Year2BCBS&amp;$H28,$A$1:$F$968,COLUMN(D$25),0)-1</f>
        <v>0.15247524752475239</v>
      </c>
      <c r="L28" s="18">
        <f>VLOOKUP(Year1BCBS&amp;$H28,$A$1:$F$968,COLUMN(E$25),0)/VLOOKUP(Year2BCBS&amp;$H28,$A$1:$F$968,COLUMN(E$25),0)-1</f>
        <v>0.15337423312883436</v>
      </c>
      <c r="M28" s="18">
        <f>VLOOKUP(Year1BCBS&amp;$H28,$A$1:$F$968,COLUMN(F$25),0)/VLOOKUP(Year2BCBS&amp;$H28,$A$1:$F$968,COLUMN(F$25),0)-1</f>
        <v>0.15280464216634426</v>
      </c>
    </row>
    <row r="29" spans="1:15">
      <c r="A29" s="21" t="str">
        <f>B$21&amp;$H19</f>
        <v>2025E</v>
      </c>
      <c r="B29" t="s">
        <v>14</v>
      </c>
      <c r="C29" s="1">
        <v>1472</v>
      </c>
      <c r="D29" s="1">
        <v>842</v>
      </c>
      <c r="E29" s="1">
        <v>570</v>
      </c>
      <c r="F29" s="1">
        <v>798</v>
      </c>
      <c r="H29" s="21" t="s">
        <v>33</v>
      </c>
      <c r="I29" t="s">
        <v>14</v>
      </c>
      <c r="J29" s="18">
        <f>VLOOKUP(Year1BCBS&amp;$H29,$A$1:$F$968,COLUMN(C$25),0)/VLOOKUP(Year2BCBS&amp;$H29,$A$1:$F$968,COLUMN(C$25),0)-1</f>
        <v>0.15270164447924817</v>
      </c>
      <c r="K29" s="18">
        <f>VLOOKUP(Year1BCBS&amp;$H29,$A$1:$F$968,COLUMN(D$25),0)/VLOOKUP(Year2BCBS&amp;$H29,$A$1:$F$968,COLUMN(D$25),0)-1</f>
        <v>0.15342465753424661</v>
      </c>
      <c r="L29" s="18">
        <f>VLOOKUP(Year1BCBS&amp;$H29,$A$1:$F$968,COLUMN(E$25),0)/VLOOKUP(Year2BCBS&amp;$H29,$A$1:$F$968,COLUMN(E$25),0)-1</f>
        <v>0.15384615384615374</v>
      </c>
      <c r="M29" s="18">
        <f>VLOOKUP(Year1BCBS&amp;$H29,$A$1:$F$968,COLUMN(F$25),0)/VLOOKUP(Year2BCBS&amp;$H29,$A$1:$F$968,COLUMN(F$25),0)-1</f>
        <v>0.15317919075144504</v>
      </c>
    </row>
    <row r="31" spans="1:15" ht="15" customHeight="1">
      <c r="B31" s="23">
        <v>2024</v>
      </c>
      <c r="C31" s="23"/>
      <c r="D31" s="23"/>
      <c r="E31" s="23"/>
      <c r="F31" s="23"/>
    </row>
    <row r="32" spans="1:15" ht="15" customHeight="1">
      <c r="B32" s="23"/>
      <c r="C32" s="23"/>
      <c r="D32" s="23"/>
      <c r="E32" s="23"/>
      <c r="F32" s="23"/>
      <c r="H32" s="19"/>
    </row>
    <row r="34" spans="1:6">
      <c r="B34" t="s">
        <v>10</v>
      </c>
      <c r="C34" t="s">
        <v>7</v>
      </c>
      <c r="D34" t="s">
        <v>8</v>
      </c>
      <c r="E34" t="s">
        <v>9</v>
      </c>
      <c r="F34" t="s">
        <v>0</v>
      </c>
    </row>
    <row r="35" spans="1:6">
      <c r="A35" s="21" t="str">
        <f>B$31&amp;$H15</f>
        <v>2024A</v>
      </c>
      <c r="B35" t="s">
        <v>12</v>
      </c>
      <c r="C35" s="1">
        <v>572</v>
      </c>
      <c r="D35" s="1">
        <v>118</v>
      </c>
      <c r="E35" s="1">
        <v>44</v>
      </c>
      <c r="F35" s="1">
        <v>240</v>
      </c>
    </row>
    <row r="36" spans="1:6">
      <c r="A36" s="21" t="str">
        <f>B$31&amp;$H16</f>
        <v>2024B</v>
      </c>
      <c r="B36" t="s">
        <v>11</v>
      </c>
      <c r="C36" s="1">
        <v>685</v>
      </c>
      <c r="D36" s="1">
        <v>213</v>
      </c>
      <c r="E36" s="1">
        <v>90</v>
      </c>
      <c r="F36" s="1">
        <v>313</v>
      </c>
    </row>
    <row r="37" spans="1:6">
      <c r="A37" s="21" t="str">
        <f>B$31&amp;$H17</f>
        <v>2024C</v>
      </c>
      <c r="B37" t="s">
        <v>26</v>
      </c>
      <c r="C37" s="1">
        <v>825</v>
      </c>
      <c r="D37" s="1">
        <v>343</v>
      </c>
      <c r="E37" s="1">
        <v>205</v>
      </c>
      <c r="F37" s="1">
        <v>406</v>
      </c>
    </row>
    <row r="38" spans="1:6">
      <c r="A38" s="21" t="str">
        <f>B$31&amp;$H18</f>
        <v>2024D</v>
      </c>
      <c r="B38" t="s">
        <v>13</v>
      </c>
      <c r="C38" s="1">
        <v>1012</v>
      </c>
      <c r="D38" s="1">
        <v>505</v>
      </c>
      <c r="E38" s="1">
        <v>326</v>
      </c>
      <c r="F38" s="1">
        <v>517</v>
      </c>
    </row>
    <row r="39" spans="1:6">
      <c r="A39" s="21" t="str">
        <f>B$31&amp;$H19</f>
        <v>2024E</v>
      </c>
      <c r="B39" t="s">
        <v>14</v>
      </c>
      <c r="C39" s="1">
        <v>1277</v>
      </c>
      <c r="D39" s="1">
        <v>730</v>
      </c>
      <c r="E39" s="1">
        <v>494</v>
      </c>
      <c r="F39" s="1">
        <v>692</v>
      </c>
    </row>
  </sheetData>
  <mergeCells count="7">
    <mergeCell ref="B1:F2"/>
    <mergeCell ref="I1:M2"/>
    <mergeCell ref="B11:F12"/>
    <mergeCell ref="I11:M12"/>
    <mergeCell ref="B21:F22"/>
    <mergeCell ref="I21:M22"/>
    <mergeCell ref="B31:F32"/>
  </mergeCells>
  <pageMargins left="0.7" right="0.7" top="0.75" bottom="0.75" header="0.3" footer="0.3"/>
  <pageSetup orientation="portrait" horizontalDpi="1200" verticalDpi="12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Calculator</vt:lpstr>
      <vt:lpstr>YOY Premium increases</vt:lpstr>
      <vt:lpstr>'YOY Premium increases'!Year1</vt:lpstr>
      <vt:lpstr>Year1BCBS</vt:lpstr>
      <vt:lpstr>Year1UHC</vt:lpstr>
      <vt:lpstr>'YOY Premium increases'!Year2</vt:lpstr>
      <vt:lpstr>Year2BCBS</vt:lpstr>
      <vt:lpstr>Year2UHC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Hively</cp:lastModifiedBy>
  <dcterms:created xsi:type="dcterms:W3CDTF">2018-10-23T14:50:57Z</dcterms:created>
  <dcterms:modified xsi:type="dcterms:W3CDTF">2026-10-29T15:44:22Z</dcterms:modified>
</cp:coreProperties>
</file>