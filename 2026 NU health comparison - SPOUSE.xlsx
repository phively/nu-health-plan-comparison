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bh634\Documents\GitHub\nu-health-plan-comparison\"/>
    </mc:Choice>
  </mc:AlternateContent>
  <xr:revisionPtr revIDLastSave="0" documentId="8_{24725886-1E86-41BD-ACE7-7C5CBC28094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alculator" sheetId="1" r:id="rId1"/>
    <sheet name="YOY Premium increases" sheetId="2" r:id="rId2"/>
  </sheets>
  <definedNames>
    <definedName name="Year1">'YOY Premium increases'!$O$21</definedName>
    <definedName name="Year2">'YOY Premium increases'!$O$22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7" i="1"/>
  <c r="C10" i="1"/>
  <c r="C9" i="1"/>
  <c r="C15" i="1" s="1"/>
  <c r="E15" i="1"/>
  <c r="E20" i="1" s="1"/>
  <c r="D15" i="1"/>
  <c r="D20" i="1" s="1"/>
  <c r="B15" i="1"/>
  <c r="B20" i="1" s="1"/>
  <c r="D3" i="1" l="1"/>
  <c r="C3" i="1"/>
  <c r="E11" i="1"/>
  <c r="D11" i="1"/>
  <c r="C11" i="1"/>
  <c r="B11" i="1"/>
  <c r="E10" i="1"/>
  <c r="D10" i="1"/>
  <c r="B10" i="1"/>
  <c r="E9" i="1"/>
  <c r="D9" i="1"/>
  <c r="B9" i="1"/>
  <c r="E8" i="1"/>
  <c r="D8" i="1"/>
  <c r="C8" i="1"/>
  <c r="B8" i="1"/>
  <c r="D6" i="1"/>
  <c r="C6" i="1"/>
  <c r="E5" i="2"/>
  <c r="E6" i="2"/>
  <c r="E7" i="2"/>
  <c r="E8" i="2"/>
  <c r="E9" i="2"/>
  <c r="F5" i="2"/>
  <c r="F6" i="2"/>
  <c r="F7" i="2"/>
  <c r="F8" i="2"/>
  <c r="F9" i="2"/>
  <c r="D5" i="2"/>
  <c r="D6" i="2"/>
  <c r="D7" i="2"/>
  <c r="D8" i="2"/>
  <c r="D9" i="2"/>
  <c r="C5" i="2"/>
  <c r="C6" i="2"/>
  <c r="C7" i="2"/>
  <c r="C8" i="2"/>
  <c r="C9" i="2"/>
  <c r="C7" i="1"/>
  <c r="A16" i="2" l="1"/>
  <c r="A17" i="2"/>
  <c r="A18" i="2"/>
  <c r="A19" i="2"/>
  <c r="A15" i="2"/>
  <c r="A29" i="2"/>
  <c r="A28" i="2"/>
  <c r="A27" i="2"/>
  <c r="A26" i="2"/>
  <c r="A25" i="2"/>
  <c r="A39" i="2"/>
  <c r="A38" i="2"/>
  <c r="A37" i="2"/>
  <c r="A36" i="2"/>
  <c r="A35" i="2"/>
  <c r="J27" i="2" l="1"/>
  <c r="K27" i="2"/>
  <c r="K29" i="2"/>
  <c r="L29" i="2"/>
  <c r="M29" i="2"/>
  <c r="L27" i="2"/>
  <c r="M27" i="2"/>
  <c r="J26" i="2"/>
  <c r="J28" i="2"/>
  <c r="K25" i="2"/>
  <c r="J25" i="2"/>
  <c r="K26" i="2"/>
  <c r="K28" i="2"/>
  <c r="L25" i="2"/>
  <c r="J29" i="2"/>
  <c r="L26" i="2"/>
  <c r="L28" i="2"/>
  <c r="M25" i="2"/>
  <c r="M28" i="2"/>
  <c r="M26" i="2"/>
  <c r="D7" i="1"/>
  <c r="E12" i="1" l="1"/>
  <c r="D12" i="1"/>
  <c r="C12" i="1"/>
  <c r="B12" i="1"/>
  <c r="C2" i="1" l="1"/>
  <c r="C4" i="1" s="1"/>
  <c r="D2" i="1"/>
  <c r="E2" i="1"/>
  <c r="E4" i="1" s="1"/>
  <c r="B2" i="1"/>
  <c r="B4" i="1" s="1"/>
  <c r="B5" i="1" l="1"/>
  <c r="B13" i="1" s="1"/>
  <c r="E5" i="1"/>
  <c r="E14" i="1" s="1"/>
  <c r="C5" i="1"/>
  <c r="D4" i="1"/>
  <c r="C14" i="1" l="1"/>
  <c r="C18" i="1"/>
  <c r="E17" i="1"/>
  <c r="E18" i="1"/>
  <c r="B18" i="1"/>
  <c r="B17" i="1"/>
  <c r="E16" i="1"/>
  <c r="B14" i="1"/>
  <c r="B16" i="1"/>
  <c r="D5" i="1"/>
  <c r="D13" i="1" s="1"/>
  <c r="C13" i="1"/>
  <c r="E13" i="1"/>
  <c r="C20" i="1" l="1"/>
  <c r="D17" i="1"/>
  <c r="D18" i="1"/>
  <c r="D14" i="1"/>
  <c r="D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Hively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At Northwestern, health insurance premiums are paid as payroll deductions and are thus exempt from federal and state income tax.</t>
        </r>
      </text>
    </comment>
    <comment ref="A6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NU matches up to $1000 of HSA contributions; this is free money and reduces the yearly cost of care.</t>
        </r>
      </text>
    </comment>
    <comment ref="A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Paul Hively:</t>
        </r>
        <r>
          <rPr>
            <sz val="9"/>
            <color indexed="81"/>
            <rFont val="Tahoma"/>
            <family val="2"/>
          </rPr>
          <t xml:space="preserve">
HSA contributions are exempt from federal and state income tax, and possibly SSDI (depending on if it's a payroll deduction and total income).</t>
        </r>
      </text>
    </comment>
    <comment ref="A1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no care is required.</t>
        </r>
      </text>
    </comment>
    <comment ref="A14" authorId="0" shapeId="0" xr:uid="{ABCF2DD9-1949-49FA-854B-6B15108DC9C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 for one participant, but the plan does not pay for any care.</t>
        </r>
      </text>
    </comment>
    <comment ref="A15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deductible is met for both participants, but the plan does not pay for any care.</t>
        </r>
      </text>
    </comment>
    <comment ref="A16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one person.</t>
        </r>
      </text>
    </comment>
    <comment ref="A17" authorId="0" shapeId="0" xr:uid="{B1F4031B-03FC-4360-B942-BC3D2496A51E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one person and the other hits the deductible.</t>
        </r>
      </text>
    </comment>
    <comment ref="A18" authorId="0" shapeId="0" xr:uid="{C96D3833-BB73-43C5-8708-583B8318E7BF}">
      <text>
        <r>
          <rPr>
            <b/>
            <sz val="9"/>
            <color indexed="81"/>
            <rFont val="Tahoma"/>
            <charset val="1"/>
          </rPr>
          <t>Paul Hively:</t>
        </r>
        <r>
          <rPr>
            <sz val="9"/>
            <color indexed="81"/>
            <rFont val="Tahoma"/>
            <charset val="1"/>
          </rPr>
          <t xml:space="preserve">
Total health care costs in a year where the out-of-pocket max is reached for both participants.</t>
        </r>
      </text>
    </comment>
  </commentList>
</comments>
</file>

<file path=xl/sharedStrings.xml><?xml version="1.0" encoding="utf-8"?>
<sst xmlns="http://schemas.openxmlformats.org/spreadsheetml/2006/main" count="137" uniqueCount="63">
  <si>
    <t>HMO</t>
  </si>
  <si>
    <t>Comparison</t>
  </si>
  <si>
    <t>HSA Match</t>
  </si>
  <si>
    <t>Yearly premium</t>
  </si>
  <si>
    <t>No care year costs</t>
  </si>
  <si>
    <t>Arithmetic mean</t>
  </si>
  <si>
    <t>Premium schedule
EDIT THIS</t>
  </si>
  <si>
    <t>PPPO</t>
  </si>
  <si>
    <t>SPPO</t>
  </si>
  <si>
    <t>VPPO</t>
  </si>
  <si>
    <t>Salary tier</t>
  </si>
  <si>
    <t>Up to $75K</t>
  </si>
  <si>
    <t>Up to $42K</t>
  </si>
  <si>
    <t>Up to $182K</t>
  </si>
  <si>
    <t>Over $182K</t>
  </si>
  <si>
    <t>Provider choice
EDIT THIS</t>
  </si>
  <si>
    <t>Provider</t>
  </si>
  <si>
    <t>Cap</t>
  </si>
  <si>
    <t>In-Network</t>
  </si>
  <si>
    <t>Out-of-Network</t>
  </si>
  <si>
    <t>Your Federal tax bracket
EDIT THIS</t>
  </si>
  <si>
    <t>Federal Tax Brackets</t>
  </si>
  <si>
    <t>Premium tax savings</t>
  </si>
  <si>
    <t>HSA tax savings</t>
  </si>
  <si>
    <t>HSA Contribution</t>
  </si>
  <si>
    <t>EDIT THIS</t>
  </si>
  <si>
    <t>Up to $128K</t>
  </si>
  <si>
    <t>Year 1</t>
  </si>
  <si>
    <t>Year 2</t>
  </si>
  <si>
    <t>A</t>
  </si>
  <si>
    <t>B</t>
  </si>
  <si>
    <t>C</t>
  </si>
  <si>
    <t>D</t>
  </si>
  <si>
    <t>E</t>
  </si>
  <si>
    <t>PPO</t>
  </si>
  <si>
    <t>2026 maximum (NU)</t>
  </si>
  <si>
    <t>Tax savings assumes a reduction in 2026 income taxes due of (2026 Federal tax bracket + 4.95%), where 4.95% is the IL tax rate for 2026.</t>
  </si>
  <si>
    <t>A FSA tax benefit could be obtained for the PPO plans by contributing to an FSA for the year; however, a FSA is use it or lose it (pre-spending plan) as opposed to a true savings plan.</t>
  </si>
  <si>
    <t>% Increase BCBS to UHC</t>
  </si>
  <si>
    <t>% Increase BCBS</t>
  </si>
  <si>
    <t>SPPO -&gt; PPO</t>
  </si>
  <si>
    <t>HMO-&gt;HMO</t>
  </si>
  <si>
    <t>VPPO-&gt;HSA+</t>
  </si>
  <si>
    <t>HSA+</t>
  </si>
  <si>
    <t>HSAe</t>
  </si>
  <si>
    <t>VPPO-&gt;HSAe</t>
  </si>
  <si>
    <t>Deductible-Fam</t>
  </si>
  <si>
    <t>OOP max-Fam</t>
  </si>
  <si>
    <t>$2000 maximizes the NU HSA match</t>
  </si>
  <si>
    <t>Deductible-Ind</t>
  </si>
  <si>
    <t>OOP max-Ind</t>
  </si>
  <si>
    <t>Deductible year costs (1 person)</t>
  </si>
  <si>
    <t>Deductible year costs (2 people)</t>
  </si>
  <si>
    <t>OOP care year costs (1 person)</t>
  </si>
  <si>
    <t>OOP care year costs (2 people)</t>
  </si>
  <si>
    <t>Deductible (Family)</t>
  </si>
  <si>
    <t>Deductible (Individual)</t>
  </si>
  <si>
    <t>OOP max (Family)</t>
  </si>
  <si>
    <t>OOP max (Individual)</t>
  </si>
  <si>
    <t>Monthly premium</t>
  </si>
  <si>
    <t>Monthly HSA</t>
  </si>
  <si>
    <t>Deductible (1) + OOP costs (1)</t>
  </si>
  <si>
    <t>This comparison is valid for the "you + spouse" coverage level and assumes individual deductibles within the PPO and HSAe family plans.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</si>
</sst>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scheme val="minor"/>
    </font>
    <font>
      <sz val="30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6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5" fillId="0" borderId="0" xfId="0" applyNumberFormat="1" applyFont="1"/>
    <xf numFmtId="0" fontId="7" fillId="0" borderId="0" xfId="0" applyFont="1"/>
    <xf numFmtId="0" fontId="6" fillId="0" borderId="1" xfId="0" applyFont="1" applyBorder="1"/>
    <xf numFmtId="0" fontId="6" fillId="2" borderId="0" xfId="0" applyFont="1" applyFill="1" applyAlignment="1">
      <alignment wrapText="1"/>
    </xf>
    <xf numFmtId="0" fontId="0" fillId="3" borderId="0" xfId="0" applyFill="1"/>
    <xf numFmtId="6" fontId="7" fillId="0" borderId="0" xfId="0" applyNumberFormat="1" applyFont="1"/>
    <xf numFmtId="9" fontId="0" fillId="0" borderId="0" xfId="0" applyNumberFormat="1"/>
    <xf numFmtId="0" fontId="0" fillId="0" borderId="0" xfId="0" applyAlignment="1">
      <alignment wrapText="1"/>
    </xf>
    <xf numFmtId="9" fontId="0" fillId="3" borderId="0" xfId="1" applyFont="1" applyFill="1" applyAlignment="1">
      <alignment horizontal="left"/>
    </xf>
    <xf numFmtId="0" fontId="11" fillId="0" borderId="0" xfId="0" applyFont="1"/>
    <xf numFmtId="164" fontId="0" fillId="3" borderId="0" xfId="0" applyNumberFormat="1" applyFill="1"/>
    <xf numFmtId="6" fontId="1" fillId="0" borderId="0" xfId="0" applyNumberFormat="1" applyFont="1" applyAlignment="1">
      <alignment horizontal="left"/>
    </xf>
    <xf numFmtId="10" fontId="0" fillId="0" borderId="0" xfId="1" applyNumberFormat="1" applyFont="1"/>
    <xf numFmtId="0" fontId="12" fillId="0" borderId="0" xfId="0" applyFont="1" applyAlignment="1">
      <alignment vertical="center"/>
    </xf>
    <xf numFmtId="0" fontId="6" fillId="3" borderId="0" xfId="0" applyFont="1" applyFill="1"/>
    <xf numFmtId="0" fontId="13" fillId="0" borderId="0" xfId="0" applyFont="1"/>
    <xf numFmtId="0" fontId="12" fillId="0" borderId="0" xfId="0" applyFont="1" applyAlignment="1">
      <alignment horizontal="center" vertical="center"/>
    </xf>
    <xf numFmtId="0" fontId="0" fillId="0" borderId="0" xfId="0" applyFont="1" applyBorder="1"/>
    <xf numFmtId="164" fontId="7" fillId="0" borderId="0" xfId="0" applyNumberFormat="1" applyFont="1"/>
  </cellXfs>
  <cellStyles count="2">
    <cellStyle name="Normal" xfId="0" builtinId="0"/>
    <cellStyle name="Percent" xfId="1" builtinId="5"/>
  </cellStyles>
  <dxfs count="46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alignment horizontal="general" vertical="bottom" textRotation="0" wrapText="1" indent="0" justifyLastLine="0" shrinkToFit="0" readingOrder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Calculator!$B$12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Calculator!$B$13:$B$18</c:f>
              <c:numCache>
                <c:formatCode>"$"#,##0_);[Red]\("$"#,##0\)</c:formatCode>
                <c:ptCount val="6"/>
                <c:pt idx="0">
                  <c:v>2226.5639999999999</c:v>
                </c:pt>
                <c:pt idx="1">
                  <c:v>2976.5639999999999</c:v>
                </c:pt>
                <c:pt idx="2">
                  <c:v>3726.5639999999999</c:v>
                </c:pt>
                <c:pt idx="3">
                  <c:v>5226.5640000000003</c:v>
                </c:pt>
                <c:pt idx="4">
                  <c:v>5976.5640000000003</c:v>
                </c:pt>
                <c:pt idx="5">
                  <c:v>8226.5640000000003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2-404A-984F-BB620B18BD4D}"/>
            </c:ext>
          </c:extLst>
        </c:ser>
        <c:ser>
          <c:idx val="1"/>
          <c:order val="1"/>
          <c:tx>
            <c:strRef>
              <c:f>Calculator!$C$12</c:f>
              <c:strCache>
                <c:ptCount val="1"/>
                <c:pt idx="0">
                  <c:v>HSA+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Calculator!$C$13:$C$18</c:f>
              <c:numCache>
                <c:formatCode>"$"#,##0_);[Red]\("$"#,##0\)</c:formatCode>
                <c:ptCount val="6"/>
                <c:pt idx="0">
                  <c:v>-961.11999999999989</c:v>
                </c:pt>
                <c:pt idx="1">
                  <c:v>3038.88</c:v>
                </c:pt>
                <c:pt idx="2">
                  <c:v>3038.88</c:v>
                </c:pt>
                <c:pt idx="3">
                  <c:v>3038.88</c:v>
                </c:pt>
                <c:pt idx="4">
                  <c:v>3038.88</c:v>
                </c:pt>
                <c:pt idx="5">
                  <c:v>7038.88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2-404A-984F-BB620B18BD4D}"/>
            </c:ext>
          </c:extLst>
        </c:ser>
        <c:ser>
          <c:idx val="2"/>
          <c:order val="2"/>
          <c:tx>
            <c:strRef>
              <c:f>Calculator!$D$12</c:f>
              <c:strCache>
                <c:ptCount val="1"/>
                <c:pt idx="0">
                  <c:v>HSAe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Calculator!$D$13:$D$18</c:f>
              <c:numCache>
                <c:formatCode>"$"#,##0_);[Red]\("$"#,##0\)</c:formatCode>
                <c:ptCount val="6"/>
                <c:pt idx="0">
                  <c:v>-1530.91</c:v>
                </c:pt>
                <c:pt idx="1">
                  <c:v>2469.09</c:v>
                </c:pt>
                <c:pt idx="2">
                  <c:v>6469.09</c:v>
                </c:pt>
                <c:pt idx="3">
                  <c:v>5469.09</c:v>
                </c:pt>
                <c:pt idx="4">
                  <c:v>9469.09</c:v>
                </c:pt>
                <c:pt idx="5">
                  <c:v>12469.09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B2-404A-984F-BB620B18BD4D}"/>
            </c:ext>
          </c:extLst>
        </c:ser>
        <c:ser>
          <c:idx val="3"/>
          <c:order val="3"/>
          <c:tx>
            <c:strRef>
              <c:f>Calculator!$E$12</c:f>
              <c:strCache>
                <c:ptCount val="1"/>
                <c:pt idx="0">
                  <c:v>HMO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Calculator!$A$13:$A$18</c:f>
              <c:strCache>
                <c:ptCount val="6"/>
                <c:pt idx="0">
                  <c:v>No care year costs</c:v>
                </c:pt>
                <c:pt idx="1">
                  <c:v>Deductible year costs (1 person)</c:v>
                </c:pt>
                <c:pt idx="2">
                  <c:v>Deductible year costs (2 people)</c:v>
                </c:pt>
                <c:pt idx="3">
                  <c:v>OOP care year costs (1 person)</c:v>
                </c:pt>
                <c:pt idx="4">
                  <c:v>Deductible (1) + OOP costs (1)</c:v>
                </c:pt>
                <c:pt idx="5">
                  <c:v>OOP care year costs (2 people)</c:v>
                </c:pt>
              </c:strCache>
            </c:strRef>
          </c:cat>
          <c:val>
            <c:numRef>
              <c:f>Calculator!$E$13:$E$18</c:f>
              <c:numCache>
                <c:formatCode>"$"#,##0_);[Red]\("$"#,##0\)</c:formatCode>
                <c:ptCount val="6"/>
                <c:pt idx="0">
                  <c:v>1998.6479999999999</c:v>
                </c:pt>
                <c:pt idx="1">
                  <c:v>1998.6479999999999</c:v>
                </c:pt>
                <c:pt idx="2">
                  <c:v>1998.6479999999999</c:v>
                </c:pt>
                <c:pt idx="3">
                  <c:v>3498.6480000000001</c:v>
                </c:pt>
                <c:pt idx="4">
                  <c:v>3498.6480000000001</c:v>
                </c:pt>
                <c:pt idx="5">
                  <c:v>4998.6480000000001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B2-404A-984F-BB620B18B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8522848"/>
        <c:axId val="448520552"/>
      </c:lineChart>
      <c:catAx>
        <c:axId val="44852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0552"/>
        <c:crosses val="autoZero"/>
        <c:auto val="1"/>
        <c:lblAlgn val="ctr"/>
        <c:lblOffset val="100"/>
        <c:noMultiLvlLbl val="0"/>
      </c:catAx>
      <c:valAx>
        <c:axId val="448520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2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6</xdr:col>
      <xdr:colOff>114300</xdr:colOff>
      <xdr:row>39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213F7-BCEA-497D-8889-BD62D81F6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0">
  <autoFilter ref="A1:E20" xr:uid="{00000000-0009-0000-0100-000001000000}"/>
  <tableColumns count="5">
    <tableColumn id="1" xr3:uid="{00000000-0010-0000-0000-000001000000}" name="Comparison" totalsRowLabel="Total"/>
    <tableColumn id="2" xr3:uid="{00000000-0010-0000-0000-000002000000}" name="PPO" dataDxfId="45" totalsRowDxfId="44"/>
    <tableColumn id="3" xr3:uid="{00000000-0010-0000-0000-000003000000}" name="HSA+" dataDxfId="43" totalsRowDxfId="42"/>
    <tableColumn id="4" xr3:uid="{00000000-0010-0000-0000-000004000000}" name="HSAe" dataDxfId="41" totalsRowDxfId="40"/>
    <tableColumn id="5" xr3:uid="{00000000-0010-0000-0000-000005000000}" name="HMO" dataDxfId="39" totalsRowDxfId="3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L1:P6" totalsRowShown="0">
  <autoFilter ref="L1:P6" xr:uid="{00000000-0009-0000-0100-000002000000}"/>
  <tableColumns count="5">
    <tableColumn id="1" xr3:uid="{00000000-0010-0000-0100-000001000000}" name="Salary tier"/>
    <tableColumn id="2" xr3:uid="{00000000-0010-0000-0100-000002000000}" name="PPO" dataDxfId="37"/>
    <tableColumn id="3" xr3:uid="{00000000-0010-0000-0100-000003000000}" name="HSA+" dataDxfId="36"/>
    <tableColumn id="4" xr3:uid="{00000000-0010-0000-0100-000004000000}" name="HSAe" dataDxfId="35"/>
    <tableColumn id="5" xr3:uid="{00000000-0010-0000-0100-000005000000}" name="HMO" dataDxfId="3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K8:P12" totalsRowShown="0">
  <autoFilter ref="K8:P12" xr:uid="{00000000-0009-0000-0100-000003000000}"/>
  <sortState xmlns:xlrd2="http://schemas.microsoft.com/office/spreadsheetml/2017/richdata2" ref="L9:Q16">
    <sortCondition ref="L1:L7"/>
  </sortState>
  <tableColumns count="6">
    <tableColumn id="6" xr3:uid="{00000000-0010-0000-0200-000006000000}" name="Cap"/>
    <tableColumn id="1" xr3:uid="{00000000-0010-0000-0200-000001000000}" name="Provider"/>
    <tableColumn id="2" xr3:uid="{00000000-0010-0000-0200-000002000000}" name="PPO" dataDxfId="33"/>
    <tableColumn id="3" xr3:uid="{00000000-0010-0000-0200-000003000000}" name="HSA+" dataDxfId="32"/>
    <tableColumn id="4" xr3:uid="{00000000-0010-0000-0200-000004000000}" name="HSAe" dataDxfId="31"/>
    <tableColumn id="5" xr3:uid="{00000000-0010-0000-0200-000005000000}" name="HMO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K15:P19" totalsRowShown="0" headerRowDxfId="29" headerRowBorderDxfId="28" tableBorderDxfId="27">
  <autoFilter ref="K15:P19" xr:uid="{00000000-0009-0000-0100-000004000000}"/>
  <tableColumns count="6">
    <tableColumn id="2" xr3:uid="{00000000-0010-0000-0300-000002000000}" name="Cap"/>
    <tableColumn id="1" xr3:uid="{00000000-0010-0000-0300-000001000000}" name="Provider" dataDxfId="26"/>
    <tableColumn id="3" xr3:uid="{00000000-0010-0000-0300-000003000000}" name="PPO" dataDxfId="25"/>
    <tableColumn id="4" xr3:uid="{00000000-0010-0000-0300-000004000000}" name="HSA+" dataDxfId="24"/>
    <tableColumn id="5" xr3:uid="{00000000-0010-0000-0300-000005000000}" name="HSAe" dataDxfId="23"/>
    <tableColumn id="6" xr3:uid="{00000000-0010-0000-0300-000006000000}" name="HMO" dataDxfId="2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I4:I11" totalsRowShown="0" headerRowDxfId="21">
  <autoFilter ref="I4:I11" xr:uid="{00000000-0009-0000-0100-000005000000}"/>
  <tableColumns count="1">
    <tableColumn id="1" xr3:uid="{00000000-0010-0000-0400-000001000000}" name="Federal Tax Brackets" dataDxfId="20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EAF9D6-A011-4B56-A0D7-CFBDA22B0CA8}" name="Table213" displayName="Table213" ref="B4:F9" totalsRowShown="0">
  <autoFilter ref="B4:F9" xr:uid="{D5EAF9D6-A011-4B56-A0D7-CFBDA22B0CA8}"/>
  <tableColumns count="5">
    <tableColumn id="1" xr3:uid="{C5BAD141-A771-4C91-8283-9DCA0BC1CD6C}" name="Salary tier"/>
    <tableColumn id="2" xr3:uid="{E2F452EA-9B4E-455B-8E7C-85A3B371B14E}" name="SPPO -&gt; PPO" dataDxfId="19" dataCellStyle="Percent">
      <calculatedColumnFormula>C15/D25-1</calculatedColumnFormula>
    </tableColumn>
    <tableColumn id="3" xr3:uid="{1A68EE9A-B3CD-4D81-A854-D4CC0EA97A1F}" name="VPPO-&gt;HSA+" dataDxfId="18">
      <calculatedColumnFormula>D15/E25-1</calculatedColumnFormula>
    </tableColumn>
    <tableColumn id="4" xr3:uid="{CDE95AE4-CFB7-4A93-8B1F-15D8E001FC05}" name="VPPO-&gt;HSAe" dataDxfId="17">
      <calculatedColumnFormula>E15/E25-1</calculatedColumnFormula>
    </tableColumn>
    <tableColumn id="5" xr3:uid="{601FA0AE-D606-4A72-B5FA-34F052E1BDB5}" name="HMO-&gt;HMO" dataDxfId="16">
      <calculatedColumnFormula>F15/F25-1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DE184C8-FF89-42C1-87CF-BF51FF85BFBA}" name="Table21312" displayName="Table21312" ref="I24:M29" totalsRowShown="0">
  <autoFilter ref="I24:M29" xr:uid="{0DE184C8-FF89-42C1-87CF-BF51FF85BFBA}"/>
  <tableColumns count="5">
    <tableColumn id="1" xr3:uid="{1420C700-5FB8-4802-82CF-FB33F7EF5C3A}" name="Salary tier"/>
    <tableColumn id="2" xr3:uid="{F43CDEAC-D1B6-4CD3-8871-4B52C0CCB6F3}" name="PPPO" dataDxfId="15" dataCellStyle="Percent">
      <calculatedColumnFormula>VLOOKUP(Year1&amp;$A5,$A$10:$F$1019,COLUMN(C$4),0)/VLOOKUP(Year2&amp;$A5,$A$10:$F$1019,COLUMN(C$4),0)-1</calculatedColumnFormula>
    </tableColumn>
    <tableColumn id="3" xr3:uid="{35128940-0E49-4374-8EF8-4044E1BB9B45}" name="SPPO" dataDxfId="14">
      <calculatedColumnFormula>VLOOKUP(Year1&amp;$A5,$A$10:$F$1019,COLUMN(D$4),0)/VLOOKUP(Year2&amp;$A5,$A$10:$F$1019,COLUMN(D$4),0)-1</calculatedColumnFormula>
    </tableColumn>
    <tableColumn id="4" xr3:uid="{C0A0BA70-F8E9-466B-8495-9A12A151227B}" name="VPPO" dataDxfId="13">
      <calculatedColumnFormula>VLOOKUP(Year1&amp;$A5,$A$10:$F$1019,COLUMN(E$4),0)/VLOOKUP(Year2&amp;$A5,$A$10:$F$1019,COLUMN(E$4),0)-1</calculatedColumnFormula>
    </tableColumn>
    <tableColumn id="5" xr3:uid="{F067C46B-2E09-4FAD-A214-81E867B5873B}" name="HMO" dataDxfId="12">
      <calculatedColumnFormula>VLOOKUP(Year1&amp;$A5,$A$10:$F$1019,COLUMN(F$4),0)/VLOOKUP(Year2&amp;$A5,$A$10:$F$1019,COLUMN(F$4),0)-1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C800A16-2858-4153-B93D-29BD3D5CB5E2}" name="Table21011" displayName="Table21011" ref="B34:F39" totalsRowShown="0">
  <autoFilter ref="B34:F39" xr:uid="{3C800A16-2858-4153-B93D-29BD3D5CB5E2}"/>
  <tableColumns count="5">
    <tableColumn id="1" xr3:uid="{63FAE90E-2C65-4257-A7B0-F0640C05E29B}" name="Salary tier"/>
    <tableColumn id="2" xr3:uid="{8E6CD055-FF43-4A10-89DC-A5292AE847B3}" name="PPPO" dataDxfId="11"/>
    <tableColumn id="3" xr3:uid="{1708534C-1047-4CCA-907C-56FA034D01C5}" name="SPPO" dataDxfId="10"/>
    <tableColumn id="4" xr3:uid="{F06F780A-03B0-4BC5-B914-1BCBDC39A141}" name="VPPO" dataDxfId="9"/>
    <tableColumn id="5" xr3:uid="{1F0422C6-FBED-4342-9B60-2A6B7952866C}" name="HMO" dataDxfId="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07ECAD9-D490-49BF-8A28-BA883D9D1487}" name="Table210814" displayName="Table210814" ref="B24:F29" totalsRowShown="0">
  <autoFilter ref="B24:F29" xr:uid="{507ECAD9-D490-49BF-8A28-BA883D9D1487}"/>
  <tableColumns count="5">
    <tableColumn id="1" xr3:uid="{D260E50B-D498-4602-8F0F-82D7A6670E85}" name="Salary tier"/>
    <tableColumn id="2" xr3:uid="{326A4563-13D0-4017-B295-C469B78AE040}" name="PPPO" dataDxfId="7"/>
    <tableColumn id="3" xr3:uid="{1D9CEA62-7933-4C0C-985F-B46E5A9CA795}" name="SPPO" dataDxfId="6"/>
    <tableColumn id="4" xr3:uid="{B6EC9077-B315-4644-8513-2145963D87C4}" name="VPPO" dataDxfId="5"/>
    <tableColumn id="5" xr3:uid="{D5E11638-2FBB-44F1-9C7B-01FCD1EB152D}" name="HMO" dataDxfId="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683AC2-BEDC-4BE5-92AD-933E7A651806}" name="Table2108915" displayName="Table2108915" ref="B14:F19" totalsRowShown="0">
  <autoFilter ref="B14:F19" xr:uid="{51683AC2-BEDC-4BE5-92AD-933E7A651806}"/>
  <tableColumns count="5">
    <tableColumn id="1" xr3:uid="{96BAEEEF-2516-496B-8ACF-482065BB2E79}" name="Salary tier"/>
    <tableColumn id="2" xr3:uid="{6F0470E0-90E4-4164-A37D-DF93562E43D2}" name="PPO" dataDxfId="3"/>
    <tableColumn id="3" xr3:uid="{84B41708-13F2-4A2F-8CC1-72678A9F6C37}" name="HSA+" dataDxfId="2"/>
    <tableColumn id="4" xr3:uid="{49F0EF58-0236-4685-BFE3-9092BAB3511E}" name="HSAe" dataDxfId="1"/>
    <tableColumn id="5" xr3:uid="{F74D76C4-2D4F-416A-9D3A-07CA9BAB6B38}" name="HM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Relationship Id="rId7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"/>
  <sheetViews>
    <sheetView tabSelected="1" zoomScaleNormal="100" workbookViewId="0"/>
  </sheetViews>
  <sheetFormatPr defaultRowHeight="15"/>
  <cols>
    <col min="1" max="1" width="31.140625" customWidth="1"/>
    <col min="2" max="5" width="10" customWidth="1"/>
    <col min="7" max="8" width="20.28515625" customWidth="1"/>
    <col min="9" max="9" width="25" customWidth="1"/>
    <col min="11" max="11" width="14.85546875" customWidth="1"/>
    <col min="12" max="12" width="15.42578125" bestFit="1" customWidth="1"/>
    <col min="13" max="16" width="10" customWidth="1"/>
    <col min="18" max="18" width="11.85546875" customWidth="1"/>
  </cols>
  <sheetData>
    <row r="1" spans="1:16" ht="30">
      <c r="A1" t="s">
        <v>1</v>
      </c>
      <c r="B1" t="s">
        <v>34</v>
      </c>
      <c r="C1" t="s">
        <v>43</v>
      </c>
      <c r="D1" t="s">
        <v>44</v>
      </c>
      <c r="E1" t="s">
        <v>0</v>
      </c>
      <c r="G1" s="9" t="s">
        <v>6</v>
      </c>
      <c r="H1" s="9" t="s">
        <v>15</v>
      </c>
      <c r="I1" s="9" t="s">
        <v>20</v>
      </c>
      <c r="L1" t="s">
        <v>10</v>
      </c>
      <c r="M1" t="s">
        <v>34</v>
      </c>
      <c r="N1" t="s">
        <v>43</v>
      </c>
      <c r="O1" t="s">
        <v>44</v>
      </c>
      <c r="P1" t="s">
        <v>0</v>
      </c>
    </row>
    <row r="2" spans="1:16">
      <c r="A2" t="s">
        <v>59</v>
      </c>
      <c r="B2" s="3">
        <f>VLOOKUP($G$2,Table2[#All],COLUMN(),0)</f>
        <v>254</v>
      </c>
      <c r="C2" s="3">
        <f>VLOOKUP($G$2,Table2[#All],COLUMN(),0)</f>
        <v>180</v>
      </c>
      <c r="D2" s="3">
        <f>VLOOKUP($G$2,Table2[#All],COLUMN(),0)</f>
        <v>115</v>
      </c>
      <c r="E2" s="3">
        <f>VLOOKUP($G$2,Table2[#All],COLUMN(),0)</f>
        <v>228</v>
      </c>
      <c r="G2" s="10" t="s">
        <v>11</v>
      </c>
      <c r="H2" s="10" t="s">
        <v>18</v>
      </c>
      <c r="I2" s="14">
        <v>0.22</v>
      </c>
      <c r="L2" t="s">
        <v>12</v>
      </c>
      <c r="M2" s="1">
        <v>138</v>
      </c>
      <c r="N2" s="1">
        <v>83</v>
      </c>
      <c r="O2" s="1">
        <v>59</v>
      </c>
      <c r="P2" s="1">
        <v>102</v>
      </c>
    </row>
    <row r="3" spans="1:16">
      <c r="A3" t="s">
        <v>60</v>
      </c>
      <c r="B3" s="3"/>
      <c r="C3" s="3">
        <f>G6/12</f>
        <v>166.66666666666666</v>
      </c>
      <c r="D3" s="3">
        <f>G6/12</f>
        <v>166.66666666666666</v>
      </c>
      <c r="E3" s="3"/>
      <c r="L3" t="s">
        <v>11</v>
      </c>
      <c r="M3" s="1">
        <v>254</v>
      </c>
      <c r="N3" s="1">
        <v>180</v>
      </c>
      <c r="O3" s="1">
        <v>115</v>
      </c>
      <c r="P3" s="1">
        <v>228</v>
      </c>
    </row>
    <row r="4" spans="1:16">
      <c r="A4" t="s">
        <v>3</v>
      </c>
      <c r="B4" s="3">
        <f>B2*12</f>
        <v>3048</v>
      </c>
      <c r="C4" s="3">
        <f>C2*12</f>
        <v>2160</v>
      </c>
      <c r="D4" s="3">
        <f>D2*12</f>
        <v>1380</v>
      </c>
      <c r="E4" s="3">
        <f>E2*12</f>
        <v>2736</v>
      </c>
      <c r="G4" s="9" t="s">
        <v>24</v>
      </c>
      <c r="I4" s="13" t="s">
        <v>21</v>
      </c>
      <c r="L4" t="s">
        <v>26</v>
      </c>
      <c r="M4" s="1">
        <v>431</v>
      </c>
      <c r="N4" s="1">
        <v>325</v>
      </c>
      <c r="O4" s="1">
        <v>257</v>
      </c>
      <c r="P4" s="1">
        <v>369</v>
      </c>
    </row>
    <row r="5" spans="1:16">
      <c r="A5" t="s">
        <v>22</v>
      </c>
      <c r="B5" s="11">
        <f>-1 * B4 * ($I$2 + 4.95%)</f>
        <v>-821.43600000000004</v>
      </c>
      <c r="C5" s="11">
        <f t="shared" ref="C5:E5" si="0">-1 * C4 * ($I$2 + 4.95%)</f>
        <v>-582.12</v>
      </c>
      <c r="D5" s="11">
        <f t="shared" si="0"/>
        <v>-371.91</v>
      </c>
      <c r="E5" s="11">
        <f t="shared" si="0"/>
        <v>-737.35200000000009</v>
      </c>
      <c r="G5" s="9" t="s">
        <v>25</v>
      </c>
      <c r="I5" s="12">
        <v>0.1</v>
      </c>
      <c r="L5" t="s">
        <v>13</v>
      </c>
      <c r="M5" s="1">
        <v>607</v>
      </c>
      <c r="N5" s="1">
        <v>490</v>
      </c>
      <c r="O5" s="1">
        <v>404</v>
      </c>
      <c r="P5" s="1">
        <v>540</v>
      </c>
    </row>
    <row r="6" spans="1:16">
      <c r="A6" t="s">
        <v>2</v>
      </c>
      <c r="B6" s="4"/>
      <c r="C6" s="3">
        <f>-1*MIN(G6, 2000)</f>
        <v>-2000</v>
      </c>
      <c r="D6" s="3">
        <f>-1*MIN(G6, 2000)</f>
        <v>-2000</v>
      </c>
      <c r="E6" s="4"/>
      <c r="G6" s="16">
        <v>2000</v>
      </c>
      <c r="I6" s="12">
        <v>0.12</v>
      </c>
      <c r="L6" t="s">
        <v>14</v>
      </c>
      <c r="M6" s="1">
        <v>950</v>
      </c>
      <c r="N6" s="1">
        <v>762</v>
      </c>
      <c r="O6" s="1">
        <v>645</v>
      </c>
      <c r="P6" s="1">
        <v>852</v>
      </c>
    </row>
    <row r="7" spans="1:16">
      <c r="A7" t="s">
        <v>23</v>
      </c>
      <c r="B7" s="7"/>
      <c r="C7" s="11">
        <f>-1 * G6 * ($I$2 + 4.95%)</f>
        <v>-539</v>
      </c>
      <c r="D7" s="11">
        <f>-1 * G6 * ($I$2 + 4.95%)</f>
        <v>-539</v>
      </c>
      <c r="E7" s="7"/>
      <c r="G7" s="2" t="s">
        <v>35</v>
      </c>
      <c r="H7" s="17">
        <v>6550</v>
      </c>
      <c r="I7" s="12">
        <v>0.22</v>
      </c>
    </row>
    <row r="8" spans="1:16">
      <c r="A8" t="s">
        <v>56</v>
      </c>
      <c r="B8" s="5">
        <f>VLOOKUP($H$2,$L$9:$P$10,COLUMN(),0)</f>
        <v>750</v>
      </c>
      <c r="C8" s="5">
        <f>VLOOKUP($H$2,$L$9:$P$10,COLUMN(),0)</f>
        <v>2000</v>
      </c>
      <c r="D8" s="5">
        <f>VLOOKUP($H$2,$L$9:$P$10,COLUMN(),0)</f>
        <v>4000</v>
      </c>
      <c r="E8" s="5">
        <f>VLOOKUP($H$2,$L$9:$P$10,COLUMN(),0)</f>
        <v>0</v>
      </c>
      <c r="G8" s="2" t="s">
        <v>48</v>
      </c>
      <c r="I8" s="12">
        <v>0.24</v>
      </c>
      <c r="K8" t="s">
        <v>17</v>
      </c>
      <c r="L8" t="s">
        <v>16</v>
      </c>
      <c r="M8" t="s">
        <v>34</v>
      </c>
      <c r="N8" t="s">
        <v>43</v>
      </c>
      <c r="O8" t="s">
        <v>44</v>
      </c>
      <c r="P8" t="s">
        <v>0</v>
      </c>
    </row>
    <row r="9" spans="1:16">
      <c r="A9" t="s">
        <v>55</v>
      </c>
      <c r="B9" s="5">
        <f>VLOOKUP($H$2,$L$11:$P$12,COLUMN(),0)</f>
        <v>1500</v>
      </c>
      <c r="C9" s="5">
        <f>VLOOKUP($H$2,$L$11:$P$12,COLUMN(),0)</f>
        <v>4000</v>
      </c>
      <c r="D9" s="5">
        <f>VLOOKUP($H$2,$L$11:$P$12,COLUMN(),0)</f>
        <v>8000</v>
      </c>
      <c r="E9" s="5">
        <f>VLOOKUP($H$2,$L$11:$P$12,COLUMN(),0)</f>
        <v>0</v>
      </c>
      <c r="I9" s="12">
        <v>0.32</v>
      </c>
      <c r="K9" t="s">
        <v>49</v>
      </c>
      <c r="L9" t="s">
        <v>18</v>
      </c>
      <c r="M9" s="1">
        <v>750</v>
      </c>
      <c r="N9" s="1">
        <v>2000</v>
      </c>
      <c r="O9" s="1">
        <v>4000</v>
      </c>
      <c r="P9" s="1">
        <v>0</v>
      </c>
    </row>
    <row r="10" spans="1:16">
      <c r="A10" t="s">
        <v>58</v>
      </c>
      <c r="B10" s="5">
        <f>VLOOKUP($H$2,$L$16:$P$17,COLUMN(),0)</f>
        <v>3000</v>
      </c>
      <c r="C10" s="5">
        <f>VLOOKUP($H$2,$L$16:$P$17,COLUMN(),0)</f>
        <v>4000</v>
      </c>
      <c r="D10" s="5">
        <f>VLOOKUP($H$2,$L$16:$P$17,COLUMN(),0)</f>
        <v>7000</v>
      </c>
      <c r="E10" s="5">
        <f>VLOOKUP($H$2,$L$16:$P$17,COLUMN(),0)</f>
        <v>1500</v>
      </c>
      <c r="I10" s="12">
        <v>0.35</v>
      </c>
      <c r="K10" t="s">
        <v>49</v>
      </c>
      <c r="L10" t="s">
        <v>19</v>
      </c>
      <c r="M10" s="1">
        <v>1500</v>
      </c>
      <c r="N10" s="1">
        <v>4000</v>
      </c>
      <c r="O10" s="1">
        <v>8000</v>
      </c>
      <c r="P10" s="1">
        <v>0</v>
      </c>
    </row>
    <row r="11" spans="1:16">
      <c r="A11" t="s">
        <v>57</v>
      </c>
      <c r="B11" s="5">
        <f>VLOOKUP($H$2,$L$18:$P$19,COLUMN(),0)</f>
        <v>6000</v>
      </c>
      <c r="C11" s="5">
        <f>VLOOKUP($H$2,$L$18:$P$19,COLUMN(),0)</f>
        <v>8000</v>
      </c>
      <c r="D11" s="5">
        <f>VLOOKUP($H$2,$L$18:$P$19,COLUMN(),0)</f>
        <v>14000</v>
      </c>
      <c r="E11" s="5">
        <f>VLOOKUP($H$2,$L$18:$P$19,COLUMN(),0)</f>
        <v>3000</v>
      </c>
      <c r="I11" s="12">
        <v>0.37</v>
      </c>
      <c r="K11" t="s">
        <v>46</v>
      </c>
      <c r="L11" t="s">
        <v>18</v>
      </c>
      <c r="M11" s="1">
        <v>1500</v>
      </c>
      <c r="N11" s="1">
        <v>4000</v>
      </c>
      <c r="O11" s="1">
        <v>8000</v>
      </c>
      <c r="P11" s="1">
        <v>0</v>
      </c>
    </row>
    <row r="12" spans="1:16">
      <c r="B12" s="6" t="str">
        <f>Table1[[#Headers],[PPO]]</f>
        <v>PPO</v>
      </c>
      <c r="C12" s="6" t="str">
        <f>Table1[[#Headers],[HSA+]]</f>
        <v>HSA+</v>
      </c>
      <c r="D12" s="6" t="str">
        <f>Table1[[#Headers],[HSAe]]</f>
        <v>HSAe</v>
      </c>
      <c r="E12" s="6" t="str">
        <f>Table1[[#Headers],[HMO]]</f>
        <v>HMO</v>
      </c>
      <c r="K12" t="s">
        <v>46</v>
      </c>
      <c r="L12" t="s">
        <v>19</v>
      </c>
      <c r="M12" s="1">
        <v>3000</v>
      </c>
      <c r="N12" s="1">
        <v>8000</v>
      </c>
      <c r="O12" s="1">
        <v>16000</v>
      </c>
      <c r="P12" s="1" t="e">
        <v>#N/A</v>
      </c>
    </row>
    <row r="13" spans="1:16">
      <c r="A13" t="s">
        <v>4</v>
      </c>
      <c r="B13" s="3">
        <f>SUM(B4:B7)</f>
        <v>2226.5639999999999</v>
      </c>
      <c r="C13" s="3">
        <f>SUM(C4:C7)</f>
        <v>-961.11999999999989</v>
      </c>
      <c r="D13" s="3">
        <f>SUM(D4:D7)</f>
        <v>-1530.91</v>
      </c>
      <c r="E13" s="3">
        <f>SUM(E4:E7)</f>
        <v>1998.6479999999999</v>
      </c>
      <c r="M13" s="1"/>
      <c r="N13" s="1"/>
      <c r="O13" s="1"/>
      <c r="P13" s="1"/>
    </row>
    <row r="14" spans="1:16">
      <c r="A14" t="s">
        <v>51</v>
      </c>
      <c r="B14" s="3">
        <f>SUM(B4:B8)</f>
        <v>2976.5639999999999</v>
      </c>
      <c r="C14" s="3">
        <f>SUM(C4:C7,C9)</f>
        <v>3038.88</v>
      </c>
      <c r="D14" s="3">
        <f>SUM(D4:D8)</f>
        <v>2469.09</v>
      </c>
      <c r="E14" s="3">
        <f>SUM(E4:E8)</f>
        <v>1998.6479999999999</v>
      </c>
      <c r="J14" s="2"/>
    </row>
    <row r="15" spans="1:16" ht="15" customHeight="1">
      <c r="A15" t="s">
        <v>52</v>
      </c>
      <c r="B15" s="3">
        <f>SUM(B4:B7) + MIN(B8*2,B9)</f>
        <v>3726.5639999999999</v>
      </c>
      <c r="C15" s="3">
        <f>SUM(C4:C7) + MIN(C8*2,C9)</f>
        <v>3038.88</v>
      </c>
      <c r="D15" s="3">
        <f>SUM(D4:D7) + MIN(D8*2,D9)</f>
        <v>6469.09</v>
      </c>
      <c r="E15" s="3">
        <f>SUM(E4:E7) + MIN(E8*2,E9)</f>
        <v>1998.6479999999999</v>
      </c>
      <c r="H15" s="2"/>
      <c r="I15" s="2"/>
      <c r="J15" s="2"/>
      <c r="K15" s="8" t="s">
        <v>17</v>
      </c>
      <c r="L15" s="8" t="s">
        <v>16</v>
      </c>
      <c r="M15" t="s">
        <v>34</v>
      </c>
      <c r="N15" t="s">
        <v>43</v>
      </c>
      <c r="O15" t="s">
        <v>44</v>
      </c>
      <c r="P15" t="s">
        <v>0</v>
      </c>
    </row>
    <row r="16" spans="1:16">
      <c r="A16" t="s">
        <v>53</v>
      </c>
      <c r="B16" s="3">
        <f>SUM(B4:B7,B10)</f>
        <v>5226.5640000000003</v>
      </c>
      <c r="C16" s="3">
        <f>SUM(C4:C7,C10)</f>
        <v>3038.88</v>
      </c>
      <c r="D16" s="3">
        <f>SUM(D4:D7,D10)</f>
        <v>5469.09</v>
      </c>
      <c r="E16" s="3">
        <f>SUM(E4:E7,E10)</f>
        <v>3498.6480000000001</v>
      </c>
      <c r="K16" s="23" t="s">
        <v>50</v>
      </c>
      <c r="L16" t="s">
        <v>18</v>
      </c>
      <c r="M16" s="1">
        <v>3000</v>
      </c>
      <c r="N16" s="1">
        <v>4000</v>
      </c>
      <c r="O16" s="1">
        <v>7000</v>
      </c>
      <c r="P16" s="1">
        <v>1500</v>
      </c>
    </row>
    <row r="17" spans="1:16">
      <c r="A17" t="s">
        <v>61</v>
      </c>
      <c r="B17" s="3">
        <f>SUM(B4:B7)+MIN(SUM(B8,B10),B11)</f>
        <v>5976.5640000000003</v>
      </c>
      <c r="C17" s="3">
        <f>SUM(C4:C7)+MIN(IF(C10&gt;=C9,C10,C9),C11)</f>
        <v>3038.88</v>
      </c>
      <c r="D17" s="3">
        <f>SUM(D4:D7)+MIN(SUM(D8,D10),D11)</f>
        <v>9469.09</v>
      </c>
      <c r="E17" s="3">
        <f>SUM(E4:E7)+MIN(SUM(E8,E10),E11)</f>
        <v>3498.6480000000001</v>
      </c>
      <c r="K17" s="23" t="s">
        <v>50</v>
      </c>
      <c r="L17" t="s">
        <v>19</v>
      </c>
      <c r="M17" s="1">
        <v>6000</v>
      </c>
      <c r="N17" s="1">
        <v>8000</v>
      </c>
      <c r="O17" s="1">
        <v>14000</v>
      </c>
      <c r="P17" s="1" t="e">
        <v>#N/A</v>
      </c>
    </row>
    <row r="18" spans="1:16">
      <c r="A18" t="s">
        <v>54</v>
      </c>
      <c r="B18" s="3">
        <f>SUM(B4:B7,B11)</f>
        <v>8226.5640000000003</v>
      </c>
      <c r="C18" s="3">
        <f>SUM(C4:C7,C11)</f>
        <v>7038.88</v>
      </c>
      <c r="D18" s="3">
        <f>SUM(D4:D7,D11)</f>
        <v>12469.09</v>
      </c>
      <c r="E18" s="3">
        <f>SUM(E4:E7,E11)</f>
        <v>4998.6480000000001</v>
      </c>
      <c r="F18" s="2"/>
      <c r="G18" s="2"/>
      <c r="K18" t="s">
        <v>47</v>
      </c>
      <c r="L18" t="s">
        <v>18</v>
      </c>
      <c r="M18" s="1">
        <v>6000</v>
      </c>
      <c r="N18" s="1">
        <v>8000</v>
      </c>
      <c r="O18" s="1">
        <v>14000</v>
      </c>
      <c r="P18" s="1">
        <v>3000</v>
      </c>
    </row>
    <row r="19" spans="1:16">
      <c r="B19" s="24"/>
      <c r="C19" s="24"/>
      <c r="D19" s="24"/>
      <c r="E19" s="24"/>
      <c r="K19" t="s">
        <v>47</v>
      </c>
      <c r="L19" t="s">
        <v>19</v>
      </c>
      <c r="M19" s="1">
        <v>12000</v>
      </c>
      <c r="N19" s="1">
        <v>16000</v>
      </c>
      <c r="O19" s="1">
        <v>28000</v>
      </c>
      <c r="P19" s="1" t="e">
        <v>#N/A</v>
      </c>
    </row>
    <row r="20" spans="1:16">
      <c r="A20" t="s">
        <v>5</v>
      </c>
      <c r="B20" s="3">
        <f>AVERAGE(B13:B18)</f>
        <v>4726.5639999999994</v>
      </c>
      <c r="C20" s="3">
        <f>AVERAGE(C13:C18)</f>
        <v>3038.8800000000006</v>
      </c>
      <c r="D20" s="3">
        <f>AVERAGE(D13:D18)</f>
        <v>5802.4233333333332</v>
      </c>
      <c r="E20" s="3">
        <f>AVERAGE(E13:E18)</f>
        <v>2998.6480000000006</v>
      </c>
      <c r="M20" s="1"/>
      <c r="N20" s="1"/>
      <c r="O20" s="1"/>
      <c r="P20" s="1"/>
    </row>
    <row r="21" spans="1:16">
      <c r="A21" s="2" t="s">
        <v>62</v>
      </c>
      <c r="B21" s="7"/>
      <c r="C21" s="7"/>
      <c r="D21" s="7"/>
      <c r="E21" s="7"/>
    </row>
    <row r="22" spans="1:16">
      <c r="A22" s="2" t="s">
        <v>36</v>
      </c>
      <c r="B22" s="7"/>
      <c r="C22" s="7"/>
      <c r="D22" s="7"/>
      <c r="E22" s="7"/>
    </row>
    <row r="23" spans="1:16">
      <c r="A23" s="2"/>
      <c r="B23" s="7"/>
      <c r="C23" s="7"/>
      <c r="D23" s="7"/>
      <c r="E23" s="7"/>
    </row>
    <row r="24" spans="1:16">
      <c r="A24" s="2" t="s">
        <v>37</v>
      </c>
      <c r="B24" s="7"/>
      <c r="C24" s="7"/>
      <c r="D24" s="7"/>
      <c r="E24" s="7"/>
    </row>
    <row r="25" spans="1:16">
      <c r="B25" s="15"/>
      <c r="C25" s="15"/>
      <c r="D25" s="15"/>
      <c r="E25" s="15"/>
    </row>
    <row r="26" spans="1:16">
      <c r="B26" s="15"/>
      <c r="C26" s="15"/>
      <c r="D26" s="15"/>
      <c r="E26" s="15"/>
    </row>
    <row r="27" spans="1:16">
      <c r="B27" s="7"/>
      <c r="C27" s="7"/>
      <c r="D27" s="7"/>
      <c r="E27" s="7"/>
    </row>
  </sheetData>
  <conditionalFormatting sqref="B13:E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E1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E1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E2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E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E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9:E1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E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G2" xr:uid="{00000000-0002-0000-0000-000000000000}">
      <formula1>$L$2:$L$6</formula1>
    </dataValidation>
    <dataValidation type="list" allowBlank="1" showInputMessage="1" showErrorMessage="1" sqref="I2" xr:uid="{00000000-0002-0000-0000-000002000000}">
      <formula1>$I$5:$I$11</formula1>
    </dataValidation>
    <dataValidation type="decimal" allowBlank="1" showInputMessage="1" showErrorMessage="1" sqref="G6" xr:uid="{00000000-0002-0000-0000-000003000000}">
      <formula1>0</formula1>
      <formula2>H7</formula2>
    </dataValidation>
    <dataValidation type="list" allowBlank="1" showInputMessage="1" showErrorMessage="1" sqref="H2" xr:uid="{00000000-0002-0000-0000-000001000000}">
      <formula1>$L$9:$L$12</formula1>
    </dataValidation>
  </dataValidations>
  <pageMargins left="0.7" right="0.7" top="0.75" bottom="0.75" header="0.3" footer="0.3"/>
  <pageSetup orientation="portrait" r:id="rId1"/>
  <ignoredErrors>
    <ignoredError sqref="C14 C17" formula="1"/>
  </ignoredErrors>
  <drawing r:id="rId2"/>
  <legacyDrawing r:id="rId3"/>
  <tableParts count="5"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D8BE-A77B-455B-83B5-F0176078506C}">
  <dimension ref="A1:O42"/>
  <sheetViews>
    <sheetView zoomScale="130" zoomScaleNormal="130" workbookViewId="0"/>
  </sheetViews>
  <sheetFormatPr defaultRowHeight="15"/>
  <cols>
    <col min="2" max="2" width="12.42578125" customWidth="1"/>
    <col min="3" max="3" width="14.140625" customWidth="1"/>
    <col min="4" max="4" width="16.28515625" customWidth="1"/>
    <col min="5" max="5" width="16.42578125" customWidth="1"/>
    <col min="6" max="6" width="16.28515625" customWidth="1"/>
    <col min="7" max="8" width="14.140625" customWidth="1"/>
    <col min="9" max="9" width="15.140625" customWidth="1"/>
  </cols>
  <sheetData>
    <row r="1" spans="1:6">
      <c r="B1" s="22" t="s">
        <v>38</v>
      </c>
      <c r="C1" s="22"/>
      <c r="D1" s="22"/>
      <c r="E1" s="22"/>
      <c r="F1" s="22"/>
    </row>
    <row r="2" spans="1:6">
      <c r="B2" s="22"/>
      <c r="C2" s="22"/>
      <c r="D2" s="22"/>
      <c r="E2" s="22"/>
      <c r="F2" s="22"/>
    </row>
    <row r="4" spans="1:6">
      <c r="B4" t="s">
        <v>10</v>
      </c>
      <c r="C4" t="s">
        <v>40</v>
      </c>
      <c r="D4" t="s">
        <v>42</v>
      </c>
      <c r="E4" t="s">
        <v>45</v>
      </c>
      <c r="F4" t="s">
        <v>41</v>
      </c>
    </row>
    <row r="5" spans="1:6">
      <c r="A5" s="21" t="s">
        <v>29</v>
      </c>
      <c r="B5" t="s">
        <v>12</v>
      </c>
      <c r="C5" s="18">
        <f t="shared" ref="C5:C9" si="0">C15/D25-1</f>
        <v>1.4705882352941124E-2</v>
      </c>
      <c r="D5" s="18">
        <f t="shared" ref="D5:D9" si="1">D15/E25-1</f>
        <v>0.62745098039215685</v>
      </c>
      <c r="E5" s="18">
        <f t="shared" ref="E5:E9" si="2">E15/E25-1</f>
        <v>0.15686274509803932</v>
      </c>
      <c r="F5" s="18">
        <f t="shared" ref="F5:F9" si="3">F15/F25-1</f>
        <v>-0.63176895306859204</v>
      </c>
    </row>
    <row r="6" spans="1:6">
      <c r="A6" s="21" t="s">
        <v>30</v>
      </c>
      <c r="B6" t="s">
        <v>11</v>
      </c>
      <c r="C6" s="18">
        <f t="shared" si="0"/>
        <v>3.2520325203251987E-2</v>
      </c>
      <c r="D6" s="18">
        <f t="shared" si="1"/>
        <v>0.73076923076923084</v>
      </c>
      <c r="E6" s="18">
        <f t="shared" si="2"/>
        <v>0.10576923076923084</v>
      </c>
      <c r="F6" s="18">
        <f t="shared" si="3"/>
        <v>-0.36842105263157898</v>
      </c>
    </row>
    <row r="7" spans="1:6">
      <c r="A7" s="21" t="s">
        <v>31</v>
      </c>
      <c r="B7" t="s">
        <v>26</v>
      </c>
      <c r="C7" s="18">
        <f t="shared" si="0"/>
        <v>9.1139240506329156E-2</v>
      </c>
      <c r="D7" s="18">
        <f t="shared" si="1"/>
        <v>0.37711864406779672</v>
      </c>
      <c r="E7" s="18">
        <f t="shared" si="2"/>
        <v>8.8983050847457612E-2</v>
      </c>
      <c r="F7" s="18">
        <f t="shared" si="3"/>
        <v>-0.21153846153846156</v>
      </c>
    </row>
    <row r="8" spans="1:6">
      <c r="A8" s="21" t="s">
        <v>32</v>
      </c>
      <c r="B8" t="s">
        <v>13</v>
      </c>
      <c r="C8" s="18">
        <f t="shared" si="0"/>
        <v>4.2955326460481169E-2</v>
      </c>
      <c r="D8" s="18">
        <f t="shared" si="1"/>
        <v>0.30319148936170204</v>
      </c>
      <c r="E8" s="18">
        <f t="shared" si="2"/>
        <v>7.4468085106383031E-2</v>
      </c>
      <c r="F8" s="18">
        <f t="shared" si="3"/>
        <v>-9.3959731543624136E-2</v>
      </c>
    </row>
    <row r="9" spans="1:6">
      <c r="A9" s="21" t="s">
        <v>33</v>
      </c>
      <c r="B9" t="s">
        <v>14</v>
      </c>
      <c r="C9" s="18">
        <f t="shared" si="0"/>
        <v>0.12826603325415675</v>
      </c>
      <c r="D9" s="18">
        <f t="shared" si="1"/>
        <v>0.33684210526315783</v>
      </c>
      <c r="E9" s="18">
        <f t="shared" si="2"/>
        <v>0.13157894736842102</v>
      </c>
      <c r="F9" s="18">
        <f t="shared" si="3"/>
        <v>6.7669172932330879E-2</v>
      </c>
    </row>
    <row r="11" spans="1:6" ht="15" customHeight="1">
      <c r="B11" s="22">
        <v>2026</v>
      </c>
      <c r="C11" s="22"/>
      <c r="D11" s="22"/>
      <c r="E11" s="22"/>
      <c r="F11" s="22"/>
    </row>
    <row r="12" spans="1:6" ht="15" customHeight="1">
      <c r="B12" s="22"/>
      <c r="C12" s="22"/>
      <c r="D12" s="22"/>
      <c r="E12" s="22"/>
      <c r="F12" s="22"/>
    </row>
    <row r="14" spans="1:6">
      <c r="B14" t="s">
        <v>10</v>
      </c>
      <c r="C14" t="s">
        <v>34</v>
      </c>
      <c r="D14" t="s">
        <v>43</v>
      </c>
      <c r="E14" t="s">
        <v>44</v>
      </c>
      <c r="F14" t="s">
        <v>0</v>
      </c>
    </row>
    <row r="15" spans="1:6">
      <c r="A15" s="21" t="str">
        <f>B$11&amp;A5</f>
        <v>2026A</v>
      </c>
      <c r="B15" t="s">
        <v>12</v>
      </c>
      <c r="C15" s="1">
        <v>138</v>
      </c>
      <c r="D15" s="1">
        <v>83</v>
      </c>
      <c r="E15" s="1">
        <v>59</v>
      </c>
      <c r="F15" s="1">
        <v>102</v>
      </c>
    </row>
    <row r="16" spans="1:6">
      <c r="A16" s="21" t="str">
        <f>B$11&amp;A6</f>
        <v>2026B</v>
      </c>
      <c r="B16" t="s">
        <v>11</v>
      </c>
      <c r="C16" s="1">
        <v>254</v>
      </c>
      <c r="D16" s="1">
        <v>180</v>
      </c>
      <c r="E16" s="1">
        <v>115</v>
      </c>
      <c r="F16" s="1">
        <v>228</v>
      </c>
    </row>
    <row r="17" spans="1:15">
      <c r="A17" s="21" t="str">
        <f>B$11&amp;A7</f>
        <v>2026C</v>
      </c>
      <c r="B17" t="s">
        <v>26</v>
      </c>
      <c r="C17" s="1">
        <v>431</v>
      </c>
      <c r="D17" s="1">
        <v>325</v>
      </c>
      <c r="E17" s="1">
        <v>257</v>
      </c>
      <c r="F17" s="1">
        <v>369</v>
      </c>
    </row>
    <row r="18" spans="1:15">
      <c r="A18" s="21" t="str">
        <f>B$11&amp;A8</f>
        <v>2026D</v>
      </c>
      <c r="B18" t="s">
        <v>13</v>
      </c>
      <c r="C18" s="1">
        <v>607</v>
      </c>
      <c r="D18" s="1">
        <v>490</v>
      </c>
      <c r="E18" s="1">
        <v>404</v>
      </c>
      <c r="F18" s="1">
        <v>540</v>
      </c>
    </row>
    <row r="19" spans="1:15">
      <c r="A19" s="21" t="str">
        <f>B$11&amp;A9</f>
        <v>2026E</v>
      </c>
      <c r="B19" t="s">
        <v>14</v>
      </c>
      <c r="C19" s="1">
        <v>950</v>
      </c>
      <c r="D19" s="1">
        <v>762</v>
      </c>
      <c r="E19" s="1">
        <v>645</v>
      </c>
      <c r="F19" s="1">
        <v>852</v>
      </c>
    </row>
    <row r="21" spans="1:15" ht="15" customHeight="1">
      <c r="B21" s="22">
        <v>2025</v>
      </c>
      <c r="C21" s="22"/>
      <c r="D21" s="22"/>
      <c r="E21" s="22"/>
      <c r="F21" s="22"/>
      <c r="I21" s="22" t="s">
        <v>39</v>
      </c>
      <c r="J21" s="22"/>
      <c r="K21" s="22"/>
      <c r="L21" s="22"/>
      <c r="M21" s="22"/>
      <c r="N21" s="20" t="s">
        <v>27</v>
      </c>
      <c r="O21" s="10">
        <v>2025</v>
      </c>
    </row>
    <row r="22" spans="1:15" ht="15" customHeight="1">
      <c r="B22" s="22"/>
      <c r="C22" s="22"/>
      <c r="D22" s="22"/>
      <c r="E22" s="22"/>
      <c r="F22" s="22"/>
      <c r="I22" s="22"/>
      <c r="J22" s="22"/>
      <c r="K22" s="22"/>
      <c r="L22" s="22"/>
      <c r="M22" s="22"/>
      <c r="N22" s="20" t="s">
        <v>28</v>
      </c>
      <c r="O22" s="10">
        <v>2024</v>
      </c>
    </row>
    <row r="24" spans="1:15">
      <c r="B24" t="s">
        <v>10</v>
      </c>
      <c r="C24" t="s">
        <v>7</v>
      </c>
      <c r="D24" t="s">
        <v>8</v>
      </c>
      <c r="E24" t="s">
        <v>9</v>
      </c>
      <c r="F24" t="s">
        <v>0</v>
      </c>
      <c r="I24" t="s">
        <v>10</v>
      </c>
      <c r="J24" t="s">
        <v>7</v>
      </c>
      <c r="K24" t="s">
        <v>8</v>
      </c>
      <c r="L24" t="s">
        <v>9</v>
      </c>
      <c r="M24" t="s">
        <v>0</v>
      </c>
    </row>
    <row r="25" spans="1:15">
      <c r="A25" s="21" t="str">
        <f>B$21&amp;$A5</f>
        <v>2025A</v>
      </c>
      <c r="B25" t="s">
        <v>12</v>
      </c>
      <c r="C25" s="1">
        <v>660</v>
      </c>
      <c r="D25" s="1">
        <v>136</v>
      </c>
      <c r="E25" s="1">
        <v>51</v>
      </c>
      <c r="F25" s="1">
        <v>277</v>
      </c>
      <c r="H25" s="21" t="s">
        <v>29</v>
      </c>
      <c r="I25" t="s">
        <v>12</v>
      </c>
      <c r="J25" s="18">
        <f t="shared" ref="J25:M29" si="4">VLOOKUP(Year1&amp;$A5,$A$10:$F$1019,COLUMN(C$4),0)/VLOOKUP(Year2&amp;$A5,$A$10:$F$1019,COLUMN(C$4),0)-1</f>
        <v>0.15384615384615374</v>
      </c>
      <c r="K25" s="18">
        <f t="shared" si="4"/>
        <v>0.15254237288135597</v>
      </c>
      <c r="L25" s="18">
        <f t="shared" si="4"/>
        <v>0.15909090909090917</v>
      </c>
      <c r="M25" s="18">
        <f t="shared" si="4"/>
        <v>0.15416666666666656</v>
      </c>
    </row>
    <row r="26" spans="1:15">
      <c r="A26" s="21" t="str">
        <f>B$21&amp;$A6</f>
        <v>2025B</v>
      </c>
      <c r="B26" t="s">
        <v>11</v>
      </c>
      <c r="C26" s="1">
        <v>790</v>
      </c>
      <c r="D26" s="1">
        <v>246</v>
      </c>
      <c r="E26" s="1">
        <v>104</v>
      </c>
      <c r="F26" s="1">
        <v>361</v>
      </c>
      <c r="H26" s="21" t="s">
        <v>30</v>
      </c>
      <c r="I26" t="s">
        <v>11</v>
      </c>
      <c r="J26" s="18">
        <f t="shared" si="4"/>
        <v>0.15328467153284664</v>
      </c>
      <c r="K26" s="18">
        <f t="shared" si="4"/>
        <v>0.15492957746478875</v>
      </c>
      <c r="L26" s="18">
        <f t="shared" si="4"/>
        <v>0.15555555555555545</v>
      </c>
      <c r="M26" s="18">
        <f t="shared" si="4"/>
        <v>0.15335463258785942</v>
      </c>
    </row>
    <row r="27" spans="1:15">
      <c r="A27" s="21" t="str">
        <f>B$21&amp;$A7</f>
        <v>2025C</v>
      </c>
      <c r="B27" t="s">
        <v>26</v>
      </c>
      <c r="C27" s="1">
        <v>951</v>
      </c>
      <c r="D27" s="1">
        <v>395</v>
      </c>
      <c r="E27" s="1">
        <v>236</v>
      </c>
      <c r="F27" s="1">
        <v>468</v>
      </c>
      <c r="H27" s="21" t="s">
        <v>31</v>
      </c>
      <c r="I27" t="s">
        <v>26</v>
      </c>
      <c r="J27" s="18">
        <f t="shared" si="4"/>
        <v>0.15272727272727282</v>
      </c>
      <c r="K27" s="18">
        <f t="shared" si="4"/>
        <v>0.15160349854227406</v>
      </c>
      <c r="L27" s="18">
        <f t="shared" si="4"/>
        <v>0.15121951219512186</v>
      </c>
      <c r="M27" s="18">
        <f t="shared" si="4"/>
        <v>0.15270935960591125</v>
      </c>
    </row>
    <row r="28" spans="1:15">
      <c r="A28" s="21" t="str">
        <f>B$21&amp;$A8</f>
        <v>2025D</v>
      </c>
      <c r="B28" t="s">
        <v>13</v>
      </c>
      <c r="C28" s="1">
        <v>1167</v>
      </c>
      <c r="D28" s="1">
        <v>582</v>
      </c>
      <c r="E28" s="1">
        <v>376</v>
      </c>
      <c r="F28" s="1">
        <v>596</v>
      </c>
      <c r="H28" s="21" t="s">
        <v>32</v>
      </c>
      <c r="I28" t="s">
        <v>13</v>
      </c>
      <c r="J28" s="18">
        <f t="shared" si="4"/>
        <v>0.15316205533596827</v>
      </c>
      <c r="K28" s="18">
        <f t="shared" si="4"/>
        <v>0.15247524752475239</v>
      </c>
      <c r="L28" s="18">
        <f t="shared" si="4"/>
        <v>0.15337423312883436</v>
      </c>
      <c r="M28" s="18">
        <f t="shared" si="4"/>
        <v>0.15280464216634426</v>
      </c>
    </row>
    <row r="29" spans="1:15">
      <c r="A29" s="21" t="str">
        <f>B$21&amp;$A9</f>
        <v>2025E</v>
      </c>
      <c r="B29" t="s">
        <v>14</v>
      </c>
      <c r="C29" s="1">
        <v>1472</v>
      </c>
      <c r="D29" s="1">
        <v>842</v>
      </c>
      <c r="E29" s="1">
        <v>570</v>
      </c>
      <c r="F29" s="1">
        <v>798</v>
      </c>
      <c r="H29" s="21" t="s">
        <v>33</v>
      </c>
      <c r="I29" t="s">
        <v>14</v>
      </c>
      <c r="J29" s="18">
        <f t="shared" si="4"/>
        <v>0.15270164447924817</v>
      </c>
      <c r="K29" s="18">
        <f t="shared" si="4"/>
        <v>0.15342465753424661</v>
      </c>
      <c r="L29" s="18">
        <f t="shared" si="4"/>
        <v>0.15384615384615374</v>
      </c>
      <c r="M29" s="18">
        <f t="shared" si="4"/>
        <v>0.15317919075144504</v>
      </c>
    </row>
    <row r="31" spans="1:15" ht="15" customHeight="1">
      <c r="B31" s="22">
        <v>2024</v>
      </c>
      <c r="C31" s="22"/>
      <c r="D31" s="22"/>
      <c r="E31" s="22"/>
      <c r="F31" s="22"/>
    </row>
    <row r="32" spans="1:15" ht="15" customHeight="1">
      <c r="B32" s="22"/>
      <c r="C32" s="22"/>
      <c r="D32" s="22"/>
      <c r="E32" s="22"/>
      <c r="F32" s="22"/>
      <c r="H32" s="19"/>
    </row>
    <row r="34" spans="1:6">
      <c r="B34" t="s">
        <v>10</v>
      </c>
      <c r="C34" t="s">
        <v>7</v>
      </c>
      <c r="D34" t="s">
        <v>8</v>
      </c>
      <c r="E34" t="s">
        <v>9</v>
      </c>
      <c r="F34" t="s">
        <v>0</v>
      </c>
    </row>
    <row r="35" spans="1:6">
      <c r="A35" s="21" t="str">
        <f>B$31&amp;$A5</f>
        <v>2024A</v>
      </c>
      <c r="B35" t="s">
        <v>12</v>
      </c>
      <c r="C35" s="1">
        <v>572</v>
      </c>
      <c r="D35" s="1">
        <v>118</v>
      </c>
      <c r="E35" s="1">
        <v>44</v>
      </c>
      <c r="F35" s="1">
        <v>240</v>
      </c>
    </row>
    <row r="36" spans="1:6">
      <c r="A36" s="21" t="str">
        <f>B$31&amp;$A6</f>
        <v>2024B</v>
      </c>
      <c r="B36" t="s">
        <v>11</v>
      </c>
      <c r="C36" s="1">
        <v>685</v>
      </c>
      <c r="D36" s="1">
        <v>213</v>
      </c>
      <c r="E36" s="1">
        <v>90</v>
      </c>
      <c r="F36" s="1">
        <v>313</v>
      </c>
    </row>
    <row r="37" spans="1:6">
      <c r="A37" s="21" t="str">
        <f>B$31&amp;$A7</f>
        <v>2024C</v>
      </c>
      <c r="B37" t="s">
        <v>26</v>
      </c>
      <c r="C37" s="1">
        <v>825</v>
      </c>
      <c r="D37" s="1">
        <v>343</v>
      </c>
      <c r="E37" s="1">
        <v>205</v>
      </c>
      <c r="F37" s="1">
        <v>406</v>
      </c>
    </row>
    <row r="38" spans="1:6">
      <c r="A38" s="21" t="str">
        <f>B$31&amp;$A8</f>
        <v>2024D</v>
      </c>
      <c r="B38" t="s">
        <v>13</v>
      </c>
      <c r="C38" s="1">
        <v>1012</v>
      </c>
      <c r="D38" s="1">
        <v>505</v>
      </c>
      <c r="E38" s="1">
        <v>326</v>
      </c>
      <c r="F38" s="1">
        <v>517</v>
      </c>
    </row>
    <row r="39" spans="1:6">
      <c r="A39" s="21" t="str">
        <f>B$31&amp;$A9</f>
        <v>2024E</v>
      </c>
      <c r="B39" t="s">
        <v>14</v>
      </c>
      <c r="C39" s="1">
        <v>1277</v>
      </c>
      <c r="D39" s="1">
        <v>730</v>
      </c>
      <c r="E39" s="1">
        <v>494</v>
      </c>
      <c r="F39" s="1">
        <v>692</v>
      </c>
    </row>
    <row r="40" spans="1:6">
      <c r="A40" s="21"/>
    </row>
    <row r="41" spans="1:6" ht="15" customHeight="1"/>
    <row r="42" spans="1:6" ht="15" customHeight="1"/>
  </sheetData>
  <mergeCells count="5">
    <mergeCell ref="I21:M22"/>
    <mergeCell ref="B11:F12"/>
    <mergeCell ref="B31:F32"/>
    <mergeCell ref="B1:F2"/>
    <mergeCell ref="B21:F22"/>
  </mergeCells>
  <pageMargins left="0.7" right="0.7" top="0.75" bottom="0.75" header="0.3" footer="0.3"/>
  <pageSetup orientation="portrait" horizontalDpi="1200" verticalDpi="1200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Calculator</vt:lpstr>
      <vt:lpstr>YOY Premium increases</vt:lpstr>
      <vt:lpstr>Year1</vt:lpstr>
      <vt:lpstr>Year2</vt:lpstr>
    </vt:vector>
  </TitlesOfParts>
  <Company>Kellogg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Hively</dc:creator>
  <cp:lastModifiedBy>Paul H</cp:lastModifiedBy>
  <dcterms:created xsi:type="dcterms:W3CDTF">2018-10-23T14:50:57Z</dcterms:created>
  <dcterms:modified xsi:type="dcterms:W3CDTF">2025-10-22T22:26:45Z</dcterms:modified>
</cp:coreProperties>
</file>