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bh634\Documents\GitHub\nu-health-plan-comparison\"/>
    </mc:Choice>
  </mc:AlternateContent>
  <xr:revisionPtr revIDLastSave="0" documentId="13_ncr:1_{FFA6B372-3655-4F54-92EC-BC1BF73ABED0}" xr6:coauthVersionLast="47" xr6:coauthVersionMax="47" xr10:uidLastSave="{00000000-0000-0000-0000-000000000000}"/>
  <bookViews>
    <workbookView xWindow="2730" yWindow="0" windowWidth="21165" windowHeight="17280" xr2:uid="{00000000-000D-0000-FFFF-FFFF00000000}"/>
  </bookViews>
  <sheets>
    <sheet name="Calculator" sheetId="1" r:id="rId1"/>
    <sheet name="YOY Premium increases" sheetId="3" r:id="rId2"/>
  </sheets>
  <definedNames>
    <definedName name="Year1" localSheetId="1">'YOY Premium increases'!$O$21</definedName>
    <definedName name="Year1">#REF!</definedName>
    <definedName name="Year1BCBS">'YOY Premium increases'!$O$21</definedName>
    <definedName name="Year1UHC">'YOY Premium increases'!$O$1</definedName>
    <definedName name="Year2" localSheetId="1">'YOY Premium increases'!$O$22</definedName>
    <definedName name="Year2">#REF!</definedName>
    <definedName name="Year2BCBS">'YOY Premium increases'!$O$22</definedName>
    <definedName name="Year2UHC">'YOY Premium increases'!$O$2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9" i="3" l="1"/>
  <c r="A38" i="3"/>
  <c r="A37" i="3"/>
  <c r="A36" i="3"/>
  <c r="A35" i="3"/>
  <c r="A29" i="3"/>
  <c r="M28" i="3"/>
  <c r="A28" i="3"/>
  <c r="A27" i="3"/>
  <c r="A26" i="3"/>
  <c r="A25" i="3"/>
  <c r="M19" i="3"/>
  <c r="L19" i="3"/>
  <c r="K19" i="3"/>
  <c r="J19" i="3"/>
  <c r="A19" i="3"/>
  <c r="M18" i="3"/>
  <c r="L18" i="3"/>
  <c r="K18" i="3"/>
  <c r="J18" i="3"/>
  <c r="A18" i="3"/>
  <c r="M17" i="3"/>
  <c r="L17" i="3"/>
  <c r="K17" i="3"/>
  <c r="J17" i="3"/>
  <c r="A17" i="3"/>
  <c r="M16" i="3"/>
  <c r="L16" i="3"/>
  <c r="K16" i="3"/>
  <c r="J16" i="3"/>
  <c r="A16" i="3"/>
  <c r="M15" i="3"/>
  <c r="L15" i="3"/>
  <c r="K15" i="3"/>
  <c r="J15" i="3"/>
  <c r="A15" i="3"/>
  <c r="A9" i="3"/>
  <c r="A8" i="3"/>
  <c r="A7" i="3"/>
  <c r="A6" i="3"/>
  <c r="J5" i="3"/>
  <c r="A5" i="3"/>
  <c r="C10" i="1"/>
  <c r="C9" i="1"/>
  <c r="J29" i="3" l="1"/>
  <c r="M29" i="3"/>
  <c r="K28" i="3"/>
  <c r="L27" i="3"/>
  <c r="K26" i="3"/>
  <c r="L25" i="3"/>
  <c r="J25" i="3"/>
  <c r="L7" i="3"/>
  <c r="M9" i="3"/>
  <c r="L9" i="3"/>
  <c r="K9" i="3"/>
  <c r="J9" i="3"/>
  <c r="M8" i="3"/>
  <c r="L8" i="3"/>
  <c r="K8" i="3"/>
  <c r="J8" i="3"/>
  <c r="K5" i="3"/>
  <c r="K7" i="3"/>
  <c r="J7" i="3"/>
  <c r="M6" i="3"/>
  <c r="L6" i="3"/>
  <c r="K6" i="3"/>
  <c r="J6" i="3"/>
  <c r="M5" i="3"/>
  <c r="K29" i="3"/>
  <c r="L28" i="3"/>
  <c r="K27" i="3"/>
  <c r="M26" i="3"/>
  <c r="J26" i="3"/>
  <c r="M25" i="3"/>
  <c r="L5" i="3"/>
  <c r="L29" i="3"/>
  <c r="J28" i="3"/>
  <c r="M27" i="3"/>
  <c r="J27" i="3"/>
  <c r="L26" i="3"/>
  <c r="K25" i="3"/>
  <c r="M7" i="3"/>
  <c r="D3" i="1"/>
  <c r="C3" i="1"/>
  <c r="E11" i="1"/>
  <c r="D11" i="1"/>
  <c r="C11" i="1"/>
  <c r="B11" i="1"/>
  <c r="E10" i="1"/>
  <c r="D10" i="1"/>
  <c r="B10" i="1"/>
  <c r="E9" i="1"/>
  <c r="D9" i="1"/>
  <c r="B9" i="1"/>
  <c r="E8" i="1"/>
  <c r="D8" i="1"/>
  <c r="C8" i="1"/>
  <c r="B8" i="1"/>
  <c r="D6" i="1"/>
  <c r="C6" i="1"/>
  <c r="C7" i="1"/>
  <c r="D7" i="1" l="1"/>
  <c r="E12" i="1" l="1"/>
  <c r="D12" i="1"/>
  <c r="C12" i="1"/>
  <c r="B12" i="1"/>
  <c r="C2" i="1" l="1"/>
  <c r="C4" i="1" s="1"/>
  <c r="D2" i="1"/>
  <c r="E2" i="1"/>
  <c r="E4" i="1" s="1"/>
  <c r="B2" i="1"/>
  <c r="B4" i="1" s="1"/>
  <c r="E16" i="1" l="1"/>
  <c r="E18" i="1"/>
  <c r="E15" i="1"/>
  <c r="E14" i="1"/>
  <c r="B5" i="1"/>
  <c r="E5" i="1"/>
  <c r="C5" i="1"/>
  <c r="D4" i="1"/>
  <c r="B17" i="1" l="1"/>
  <c r="B15" i="1"/>
  <c r="B14" i="1"/>
  <c r="B16" i="1"/>
  <c r="B13" i="1"/>
  <c r="B18" i="1"/>
  <c r="E13" i="1"/>
  <c r="E17" i="1"/>
  <c r="C17" i="1"/>
  <c r="C16" i="1"/>
  <c r="C14" i="1"/>
  <c r="C13" i="1"/>
  <c r="C15" i="1"/>
  <c r="C18" i="1"/>
  <c r="D5" i="1"/>
  <c r="D15" i="1" l="1"/>
  <c r="D14" i="1"/>
  <c r="D18" i="1"/>
  <c r="D16" i="1"/>
  <c r="D17" i="1"/>
  <c r="D13" i="1"/>
  <c r="B20" i="1"/>
  <c r="E20" i="1"/>
  <c r="C20" i="1"/>
  <c r="D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Hively</author>
  </authors>
  <commentList>
    <comment ref="A5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At Northwestern, health insurance premiums are paid as payroll deductions and are thus exempt from federal and state income tax.</t>
        </r>
      </text>
    </comment>
    <comment ref="A6" authorId="0" shapeId="0" xr:uid="{4567C0A1-7649-4947-8B19-B6E9FD1F1145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NU matches up to $1000 ($2000 family) of HSA contributions; this is free money and reduces the yearly cost of care.</t>
        </r>
      </text>
    </comment>
    <comment ref="A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Paul Hively:</t>
        </r>
        <r>
          <rPr>
            <sz val="9"/>
            <color indexed="81"/>
            <rFont val="Tahoma"/>
            <family val="2"/>
          </rPr>
          <t xml:space="preserve">
HSA contributions are exempt from federal and state income tax, and possibly SSDI (depending on if it's a payroll deduction and total income).</t>
        </r>
      </text>
    </comment>
    <comment ref="A1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no care is required.</t>
        </r>
      </text>
    </comment>
    <comment ref="A14" authorId="0" shapeId="0" xr:uid="{ABCF2DD9-1949-49FA-854B-6B15108DC9C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deductible is met for one participant, but the plan does not pay for any care.</t>
        </r>
      </text>
    </comment>
    <comment ref="A15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deductible is met for both participants, but the plan does not pay for any care.</t>
        </r>
      </text>
    </comment>
    <comment ref="A16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out-of-pocket max is reached for one person.</t>
        </r>
      </text>
    </comment>
    <comment ref="A17" authorId="0" shapeId="0" xr:uid="{B1F4031B-03FC-4360-B942-BC3D2496A51E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out-of-pocket max is reached for one person and the other hits the deductible.</t>
        </r>
      </text>
    </comment>
    <comment ref="A18" authorId="0" shapeId="0" xr:uid="{C96D3833-BB73-43C5-8708-583B8318E7BF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out-of-pocket max is reached for both participants.</t>
        </r>
      </text>
    </comment>
  </commentList>
</comments>
</file>

<file path=xl/sharedStrings.xml><?xml version="1.0" encoding="utf-8"?>
<sst xmlns="http://schemas.openxmlformats.org/spreadsheetml/2006/main" count="167" uniqueCount="66">
  <si>
    <t>HMO</t>
  </si>
  <si>
    <t>Comparison</t>
  </si>
  <si>
    <t>HSA Match</t>
  </si>
  <si>
    <t>Yearly premium</t>
  </si>
  <si>
    <t>No care year costs</t>
  </si>
  <si>
    <t>Arithmetic mean</t>
  </si>
  <si>
    <t>Premium schedule
EDIT THIS</t>
  </si>
  <si>
    <t>PPPO</t>
  </si>
  <si>
    <t>SPPO</t>
  </si>
  <si>
    <t>VPPO</t>
  </si>
  <si>
    <t>Salary tier</t>
  </si>
  <si>
    <t>Up to $75K</t>
  </si>
  <si>
    <t>Up to $42K</t>
  </si>
  <si>
    <t>Up to $182K</t>
  </si>
  <si>
    <t>Over $182K</t>
  </si>
  <si>
    <t>Provider choice
EDIT THIS</t>
  </si>
  <si>
    <t>Provider</t>
  </si>
  <si>
    <t>Cap</t>
  </si>
  <si>
    <t>In-Network</t>
  </si>
  <si>
    <t>Out-of-Network</t>
  </si>
  <si>
    <t>Your Federal tax bracket
EDIT THIS</t>
  </si>
  <si>
    <t>Federal Tax Brackets</t>
  </si>
  <si>
    <t>Premium tax savings</t>
  </si>
  <si>
    <t>HSA tax savings</t>
  </si>
  <si>
    <t>HSA Contribution</t>
  </si>
  <si>
    <t>EDIT THIS</t>
  </si>
  <si>
    <t>Up to $128K</t>
  </si>
  <si>
    <t>Year 1</t>
  </si>
  <si>
    <t>Year 2</t>
  </si>
  <si>
    <t>A</t>
  </si>
  <si>
    <t>B</t>
  </si>
  <si>
    <t>C</t>
  </si>
  <si>
    <t>D</t>
  </si>
  <si>
    <t>E</t>
  </si>
  <si>
    <t>PPO</t>
  </si>
  <si>
    <t>% Increase BCBS to UHC</t>
  </si>
  <si>
    <t>% Increase BCBS</t>
  </si>
  <si>
    <t>SPPO -&gt; PPO</t>
  </si>
  <si>
    <t>HMO-&gt;HMO</t>
  </si>
  <si>
    <t>VPPO-&gt;HSA+</t>
  </si>
  <si>
    <t>HSA+</t>
  </si>
  <si>
    <t>HSAe</t>
  </si>
  <si>
    <t>VPPO-&gt;HSAe</t>
  </si>
  <si>
    <t>Deductible-Fam</t>
  </si>
  <si>
    <t>OOP max-Fam</t>
  </si>
  <si>
    <t>$2000 maximizes the NU HSA match</t>
  </si>
  <si>
    <t>Deductible-Ind</t>
  </si>
  <si>
    <t>OOP max-Ind</t>
  </si>
  <si>
    <t>Deductible year costs (1 person)</t>
  </si>
  <si>
    <t>Deductible year costs (2 people)</t>
  </si>
  <si>
    <t>OOP care year costs (1 person)</t>
  </si>
  <si>
    <t>OOP care year costs (2 people)</t>
  </si>
  <si>
    <t>Deductible (Family)</t>
  </si>
  <si>
    <t>Deductible (Individual)</t>
  </si>
  <si>
    <t>OOP max (Family)</t>
  </si>
  <si>
    <t>OOP max (Individual)</t>
  </si>
  <si>
    <t>Monthly premium</t>
  </si>
  <si>
    <t>Monthly HSA</t>
  </si>
  <si>
    <t>Deductible (1) + OOP costs (1)</t>
  </si>
  <si>
    <t>This comparison is valid for the "you + spouse + children" coverage level and assumes individual deductibles within the PPO and HSAe family plans.</t>
  </si>
  <si>
    <t>A FSA tax benefit could be obtained for the PPO or HMO plans by contributing to an FSA for the year; however, a FSA is use it or lose it (pre-spending plan) as opposed to a true savings plan.</t>
  </si>
  <si>
    <t>% Increase UHC</t>
  </si>
  <si>
    <t>FICA taxes (social security &amp; medicare) deliberately excluded to avoid complexity of salary caps and additional tax.</t>
  </si>
  <si>
    <t>2027 maximum (NU)</t>
  </si>
  <si>
    <t>Tax savings assumes a reduction in 2027 income taxes due of (2027 Federal tax bracket + 4.95%), where 4.95% is the IL tax rate for 2027.</t>
  </si>
  <si>
    <t>In 2027, PPO and HMO plans have a separate prescription drug OOP max. If you will need prescription drug coverage, this increases the expected PPO and HMO costs under the deductible scenarios.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</si>
</sst>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14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name val="Calibri"/>
      <scheme val="minor"/>
    </font>
    <font>
      <sz val="30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1" fillId="0" borderId="0" xfId="0" applyFont="1"/>
    <xf numFmtId="6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164" fontId="5" fillId="0" borderId="0" xfId="0" applyNumberFormat="1" applyFont="1"/>
    <xf numFmtId="0" fontId="7" fillId="0" borderId="0" xfId="0" applyFont="1"/>
    <xf numFmtId="0" fontId="6" fillId="0" borderId="1" xfId="0" applyFont="1" applyBorder="1"/>
    <xf numFmtId="0" fontId="6" fillId="2" borderId="0" xfId="0" applyFont="1" applyFill="1" applyAlignment="1">
      <alignment wrapText="1"/>
    </xf>
    <xf numFmtId="0" fontId="0" fillId="3" borderId="0" xfId="0" applyFill="1"/>
    <xf numFmtId="6" fontId="7" fillId="0" borderId="0" xfId="0" applyNumberFormat="1" applyFont="1"/>
    <xf numFmtId="9" fontId="0" fillId="0" borderId="0" xfId="0" applyNumberFormat="1"/>
    <xf numFmtId="0" fontId="0" fillId="0" borderId="0" xfId="0" applyAlignment="1">
      <alignment wrapText="1"/>
    </xf>
    <xf numFmtId="9" fontId="0" fillId="3" borderId="0" xfId="1" applyFont="1" applyFill="1" applyAlignment="1">
      <alignment horizontal="left"/>
    </xf>
    <xf numFmtId="0" fontId="11" fillId="0" borderId="0" xfId="0" applyFont="1"/>
    <xf numFmtId="164" fontId="0" fillId="3" borderId="0" xfId="0" applyNumberFormat="1" applyFill="1"/>
    <xf numFmtId="6" fontId="1" fillId="0" borderId="0" xfId="0" applyNumberFormat="1" applyFont="1" applyAlignment="1">
      <alignment horizontal="left"/>
    </xf>
    <xf numFmtId="10" fontId="0" fillId="0" borderId="0" xfId="1" applyNumberFormat="1" applyFont="1"/>
    <xf numFmtId="0" fontId="12" fillId="0" borderId="0" xfId="0" applyFont="1" applyAlignment="1">
      <alignment vertical="center"/>
    </xf>
    <xf numFmtId="0" fontId="6" fillId="3" borderId="0" xfId="0" applyFont="1" applyFill="1"/>
    <xf numFmtId="0" fontId="13" fillId="0" borderId="0" xfId="0" applyFont="1"/>
    <xf numFmtId="164" fontId="7" fillId="0" borderId="0" xfId="0" applyNumberFormat="1" applyFont="1"/>
    <xf numFmtId="0" fontId="12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54"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0" formatCode="General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Calculator!$B$12</c:f>
              <c:strCache>
                <c:ptCount val="1"/>
                <c:pt idx="0">
                  <c:v>PPO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Calculator!$A$13:$A$18</c:f>
              <c:strCache>
                <c:ptCount val="6"/>
                <c:pt idx="0">
                  <c:v>No care year costs</c:v>
                </c:pt>
                <c:pt idx="1">
                  <c:v>Deductible year costs (1 person)</c:v>
                </c:pt>
                <c:pt idx="2">
                  <c:v>Deductible year costs (2 people)</c:v>
                </c:pt>
                <c:pt idx="3">
                  <c:v>OOP care year costs (1 person)</c:v>
                </c:pt>
                <c:pt idx="4">
                  <c:v>Deductible (1) + OOP costs (1)</c:v>
                </c:pt>
                <c:pt idx="5">
                  <c:v>OOP care year costs (2 people)</c:v>
                </c:pt>
              </c:strCache>
            </c:strRef>
          </c:cat>
          <c:val>
            <c:numRef>
              <c:f>Calculator!$B$13:$B$18</c:f>
              <c:numCache>
                <c:formatCode>"$"#,##0_);[Red]\("$"#,##0\)</c:formatCode>
                <c:ptCount val="6"/>
                <c:pt idx="0">
                  <c:v>3488.8679999999999</c:v>
                </c:pt>
                <c:pt idx="1">
                  <c:v>4238.8680000000004</c:v>
                </c:pt>
                <c:pt idx="2">
                  <c:v>4988.8680000000004</c:v>
                </c:pt>
                <c:pt idx="3">
                  <c:v>6488.8680000000004</c:v>
                </c:pt>
                <c:pt idx="4">
                  <c:v>7238.8680000000004</c:v>
                </c:pt>
                <c:pt idx="5">
                  <c:v>9488.8680000000004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B2-404A-984F-BB620B18BD4D}"/>
            </c:ext>
          </c:extLst>
        </c:ser>
        <c:ser>
          <c:idx val="1"/>
          <c:order val="1"/>
          <c:tx>
            <c:strRef>
              <c:f>Calculator!$C$12</c:f>
              <c:strCache>
                <c:ptCount val="1"/>
                <c:pt idx="0">
                  <c:v>HSA+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Calculator!$A$13:$A$18</c:f>
              <c:strCache>
                <c:ptCount val="6"/>
                <c:pt idx="0">
                  <c:v>No care year costs</c:v>
                </c:pt>
                <c:pt idx="1">
                  <c:v>Deductible year costs (1 person)</c:v>
                </c:pt>
                <c:pt idx="2">
                  <c:v>Deductible year costs (2 people)</c:v>
                </c:pt>
                <c:pt idx="3">
                  <c:v>OOP care year costs (1 person)</c:v>
                </c:pt>
                <c:pt idx="4">
                  <c:v>Deductible (1) + OOP costs (1)</c:v>
                </c:pt>
                <c:pt idx="5">
                  <c:v>OOP care year costs (2 people)</c:v>
                </c:pt>
              </c:strCache>
            </c:strRef>
          </c:cat>
          <c:val>
            <c:numRef>
              <c:f>Calculator!$C$13:$C$18</c:f>
              <c:numCache>
                <c:formatCode>"$"#,##0_);[Red]\("$"#,##0\)</c:formatCode>
                <c:ptCount val="6"/>
                <c:pt idx="0">
                  <c:v>-75.753999999999905</c:v>
                </c:pt>
                <c:pt idx="1">
                  <c:v>3924.2460000000001</c:v>
                </c:pt>
                <c:pt idx="2">
                  <c:v>3924.2460000000001</c:v>
                </c:pt>
                <c:pt idx="3">
                  <c:v>3924.2460000000001</c:v>
                </c:pt>
                <c:pt idx="4">
                  <c:v>3924.2460000000001</c:v>
                </c:pt>
                <c:pt idx="5">
                  <c:v>7924.2460000000001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B2-404A-984F-BB620B18BD4D}"/>
            </c:ext>
          </c:extLst>
        </c:ser>
        <c:ser>
          <c:idx val="2"/>
          <c:order val="2"/>
          <c:tx>
            <c:strRef>
              <c:f>Calculator!$D$12</c:f>
              <c:strCache>
                <c:ptCount val="1"/>
                <c:pt idx="0">
                  <c:v>HSAe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Calculator!$A$13:$A$18</c:f>
              <c:strCache>
                <c:ptCount val="6"/>
                <c:pt idx="0">
                  <c:v>No care year costs</c:v>
                </c:pt>
                <c:pt idx="1">
                  <c:v>Deductible year costs (1 person)</c:v>
                </c:pt>
                <c:pt idx="2">
                  <c:v>Deductible year costs (2 people)</c:v>
                </c:pt>
                <c:pt idx="3">
                  <c:v>OOP care year costs (1 person)</c:v>
                </c:pt>
                <c:pt idx="4">
                  <c:v>Deductible (1) + OOP costs (1)</c:v>
                </c:pt>
                <c:pt idx="5">
                  <c:v>OOP care year costs (2 people)</c:v>
                </c:pt>
              </c:strCache>
            </c:strRef>
          </c:cat>
          <c:val>
            <c:numRef>
              <c:f>Calculator!$D$13:$D$18</c:f>
              <c:numCache>
                <c:formatCode>"$"#,##0_);[Red]\("$"#,##0\)</c:formatCode>
                <c:ptCount val="6"/>
                <c:pt idx="0">
                  <c:v>-969.88599999999997</c:v>
                </c:pt>
                <c:pt idx="1">
                  <c:v>3030.114</c:v>
                </c:pt>
                <c:pt idx="2">
                  <c:v>7030.1139999999996</c:v>
                </c:pt>
                <c:pt idx="3">
                  <c:v>6030.1139999999996</c:v>
                </c:pt>
                <c:pt idx="4">
                  <c:v>10030.114</c:v>
                </c:pt>
                <c:pt idx="5">
                  <c:v>13030.114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B2-404A-984F-BB620B18BD4D}"/>
            </c:ext>
          </c:extLst>
        </c:ser>
        <c:ser>
          <c:idx val="3"/>
          <c:order val="3"/>
          <c:tx>
            <c:strRef>
              <c:f>Calculator!$E$12</c:f>
              <c:strCache>
                <c:ptCount val="1"/>
                <c:pt idx="0">
                  <c:v>HMO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Calculator!$A$13:$A$18</c:f>
              <c:strCache>
                <c:ptCount val="6"/>
                <c:pt idx="0">
                  <c:v>No care year costs</c:v>
                </c:pt>
                <c:pt idx="1">
                  <c:v>Deductible year costs (1 person)</c:v>
                </c:pt>
                <c:pt idx="2">
                  <c:v>Deductible year costs (2 people)</c:v>
                </c:pt>
                <c:pt idx="3">
                  <c:v>OOP care year costs (1 person)</c:v>
                </c:pt>
                <c:pt idx="4">
                  <c:v>Deductible (1) + OOP costs (1)</c:v>
                </c:pt>
                <c:pt idx="5">
                  <c:v>OOP care year costs (2 people)</c:v>
                </c:pt>
              </c:strCache>
            </c:strRef>
          </c:cat>
          <c:val>
            <c:numRef>
              <c:f>Calculator!$E$13:$E$18</c:f>
              <c:numCache>
                <c:formatCode>"$"#,##0_);[Red]\("$"#,##0\)</c:formatCode>
                <c:ptCount val="6"/>
                <c:pt idx="0">
                  <c:v>3260.9520000000002</c:v>
                </c:pt>
                <c:pt idx="1">
                  <c:v>3260.9520000000002</c:v>
                </c:pt>
                <c:pt idx="2">
                  <c:v>3260.9520000000002</c:v>
                </c:pt>
                <c:pt idx="3">
                  <c:v>4760.9520000000002</c:v>
                </c:pt>
                <c:pt idx="4">
                  <c:v>4760.9520000000002</c:v>
                </c:pt>
                <c:pt idx="5">
                  <c:v>6260.9520000000002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B2-404A-984F-BB620B18B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522848"/>
        <c:axId val="448520552"/>
      </c:lineChart>
      <c:catAx>
        <c:axId val="44852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20552"/>
        <c:crosses val="autoZero"/>
        <c:auto val="1"/>
        <c:lblAlgn val="ctr"/>
        <c:lblOffset val="100"/>
        <c:noMultiLvlLbl val="0"/>
      </c:catAx>
      <c:valAx>
        <c:axId val="44852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2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6</xdr:col>
      <xdr:colOff>114300</xdr:colOff>
      <xdr:row>40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6213F7-BCEA-497D-8889-BD62D81F6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0">
  <autoFilter ref="A1:E20" xr:uid="{00000000-0009-0000-0100-000001000000}"/>
  <tableColumns count="5">
    <tableColumn id="1" xr3:uid="{00000000-0010-0000-0000-000001000000}" name="Comparison" totalsRowLabel="Total"/>
    <tableColumn id="2" xr3:uid="{00000000-0010-0000-0000-000002000000}" name="PPO" dataDxfId="53" totalsRowDxfId="52"/>
    <tableColumn id="3" xr3:uid="{00000000-0010-0000-0000-000003000000}" name="HSA+" dataDxfId="51" totalsRowDxfId="50"/>
    <tableColumn id="4" xr3:uid="{00000000-0010-0000-0000-000004000000}" name="HSAe" dataDxfId="49" totalsRowDxfId="48"/>
    <tableColumn id="5" xr3:uid="{00000000-0010-0000-0000-000005000000}" name="HMO" dataDxfId="47" totalsRowDxfId="4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4" displayName="Table24" ref="K8:P12" totalsRowShown="0">
  <autoFilter ref="K8:P12" xr:uid="{00000000-0009-0000-0100-000003000000}"/>
  <sortState xmlns:xlrd2="http://schemas.microsoft.com/office/spreadsheetml/2017/richdata2" ref="L9:Q16">
    <sortCondition ref="L1:L7"/>
  </sortState>
  <tableColumns count="6">
    <tableColumn id="6" xr3:uid="{00000000-0010-0000-0200-000006000000}" name="Cap"/>
    <tableColumn id="1" xr3:uid="{00000000-0010-0000-0200-000001000000}" name="Provider"/>
    <tableColumn id="2" xr3:uid="{00000000-0010-0000-0200-000002000000}" name="PPO" dataDxfId="45"/>
    <tableColumn id="3" xr3:uid="{00000000-0010-0000-0200-000003000000}" name="HSA+" dataDxfId="44"/>
    <tableColumn id="4" xr3:uid="{00000000-0010-0000-0200-000004000000}" name="HSAe" dataDxfId="43"/>
    <tableColumn id="5" xr3:uid="{00000000-0010-0000-0200-000005000000}" name="HMO" dataDxfId="4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K15:P19" totalsRowShown="0" headerRowDxfId="41" headerRowBorderDxfId="40" tableBorderDxfId="39">
  <autoFilter ref="K15:P19" xr:uid="{00000000-0009-0000-0100-000004000000}"/>
  <tableColumns count="6">
    <tableColumn id="2" xr3:uid="{00000000-0010-0000-0300-000002000000}" name="Cap"/>
    <tableColumn id="1" xr3:uid="{00000000-0010-0000-0300-000001000000}" name="Provider" dataDxfId="38"/>
    <tableColumn id="3" xr3:uid="{00000000-0010-0000-0300-000003000000}" name="PPO" dataDxfId="37"/>
    <tableColumn id="4" xr3:uid="{00000000-0010-0000-0300-000004000000}" name="HSA+" dataDxfId="36"/>
    <tableColumn id="5" xr3:uid="{00000000-0010-0000-0300-000005000000}" name="HSAe" dataDxfId="35"/>
    <tableColumn id="6" xr3:uid="{00000000-0010-0000-0300-000006000000}" name="HMO" dataDxfId="34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I4:I11" totalsRowShown="0" headerRowDxfId="33">
  <autoFilter ref="I4:I11" xr:uid="{00000000-0009-0000-0100-000005000000}"/>
  <tableColumns count="1">
    <tableColumn id="1" xr3:uid="{00000000-0010-0000-0400-000001000000}" name="Federal Tax Brackets" dataDxfId="3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L1:P6" totalsRowShown="0">
  <autoFilter ref="L1:P6" xr:uid="{00000000-0009-0000-0100-000002000000}"/>
  <tableColumns count="5">
    <tableColumn id="1" xr3:uid="{00000000-0010-0000-0100-000001000000}" name="Salary tier"/>
    <tableColumn id="2" xr3:uid="{00000000-0010-0000-0100-000002000000}" name="PPO" dataDxfId="31"/>
    <tableColumn id="3" xr3:uid="{00000000-0010-0000-0100-000003000000}" name="HSA+" dataDxfId="30"/>
    <tableColumn id="4" xr3:uid="{00000000-0010-0000-0100-000004000000}" name="HSAe" dataDxfId="29"/>
    <tableColumn id="5" xr3:uid="{00000000-0010-0000-0100-000005000000}" name="HMO" dataDxfId="2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DE0D543-53D1-46D5-818A-0E3554122A72}" name="Table2139" displayName="Table2139" ref="I14:M19" totalsRowShown="0">
  <autoFilter ref="I14:M19" xr:uid="{D5EAF9D6-A011-4B56-A0D7-CFBDA22B0CA8}"/>
  <tableColumns count="5">
    <tableColumn id="1" xr3:uid="{A78D8D5A-C68E-4132-AE58-30AA6CE5647C}" name="Salary tier"/>
    <tableColumn id="2" xr3:uid="{CB3B1F10-CCC1-4CFD-8715-37537CA4AC0D}" name="SPPO -&gt; PPO" dataDxfId="27" dataCellStyle="Percent">
      <calculatedColumnFormula>C15/D25-1</calculatedColumnFormula>
    </tableColumn>
    <tableColumn id="3" xr3:uid="{9DEFA101-AA8E-41E6-AD6F-B67D97324A9F}" name="VPPO-&gt;HSA+" dataDxfId="26">
      <calculatedColumnFormula>D15/E25-1</calculatedColumnFormula>
    </tableColumn>
    <tableColumn id="4" xr3:uid="{A644C125-A4B4-46B9-B0D2-293162E4AD90}" name="VPPO-&gt;HSAe" dataDxfId="25">
      <calculatedColumnFormula>E15/E25-1</calculatedColumnFormula>
    </tableColumn>
    <tableColumn id="5" xr3:uid="{10629FB0-3498-4BC1-826E-80BCA1025DA2}" name="HMO-&gt;HMO" dataDxfId="24">
      <calculatedColumnFormula>F15/F25-1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2075089-E797-4891-961B-18BAD65D48F5}" name="Table2131221" displayName="Table2131221" ref="I24:M29" totalsRowShown="0">
  <autoFilter ref="I24:M29" xr:uid="{0DE184C8-FF89-42C1-87CF-BF51FF85BFBA}"/>
  <tableColumns count="5">
    <tableColumn id="1" xr3:uid="{23746E9C-3A15-4548-B741-BD9DA38A4F13}" name="Salary tier"/>
    <tableColumn id="2" xr3:uid="{E2249E46-94FD-4354-AFF6-AD0F7FF036FF}" name="PPPO" dataDxfId="23" dataCellStyle="Percent">
      <calculatedColumnFormula>VLOOKUP(Year1BCBS&amp;$H25,$A$1:$F$960,COLUMN(C$25),0)/VLOOKUP(Year2BCBS&amp;$H25,$A$1:$F$960,COLUMN(C$25),0)-1</calculatedColumnFormula>
    </tableColumn>
    <tableColumn id="3" xr3:uid="{4B205024-3AAA-4842-8D34-53D64BF0C478}" name="SPPO" dataDxfId="22" dataCellStyle="Percent">
      <calculatedColumnFormula>VLOOKUP(Year1BCBS&amp;$H25,$A$1:$F$960,COLUMN(D$25),0)/VLOOKUP(Year2BCBS&amp;$H25,$A$1:$F$960,COLUMN(D$25),0)-1</calculatedColumnFormula>
    </tableColumn>
    <tableColumn id="4" xr3:uid="{12EF1BBE-20AE-4768-8B8D-C43B244EDBCF}" name="VPPO" dataDxfId="21" dataCellStyle="Percent">
      <calculatedColumnFormula>VLOOKUP(Year1BCBS&amp;$H25,$A$1:$F$960,COLUMN(E$25),0)/VLOOKUP(Year2BCBS&amp;$H25,$A$1:$F$960,COLUMN(E$25),0)-1</calculatedColumnFormula>
    </tableColumn>
    <tableColumn id="5" xr3:uid="{8C372507-70D2-44B6-AC76-55C68676FA0B}" name="HMO" dataDxfId="20" dataCellStyle="Percent">
      <calculatedColumnFormula>VLOOKUP(Year1BCBS&amp;$H25,$A$1:$F$960,COLUMN(F$25),0)/VLOOKUP(Year2BCBS&amp;$H25,$A$1:$F$960,COLUMN(F$25),0)-1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A86A256-E72F-42C0-AF49-CF495CF3CCA7}" name="Table2108911" displayName="Table2108911" ref="B4:F9" totalsRowShown="0">
  <autoFilter ref="B4:F9" xr:uid="{2EFDE180-E51C-4B2B-88A1-BF00B00D4DD6}"/>
  <tableColumns count="5">
    <tableColumn id="1" xr3:uid="{48EA734E-7955-45C7-BFA9-5EF1085492CA}" name="Salary tier"/>
    <tableColumn id="2" xr3:uid="{7B423AC7-73FB-42FE-BEF3-B664F999587E}" name="PPO" dataDxfId="19"/>
    <tableColumn id="3" xr3:uid="{879A6CDF-D230-4AD3-8DBD-24280AB416BF}" name="HSA+" dataDxfId="18"/>
    <tableColumn id="4" xr3:uid="{69A24C16-AAD9-4C01-8881-257F5C714E98}" name="HSAe" dataDxfId="17"/>
    <tableColumn id="5" xr3:uid="{EAF1D041-8D76-4142-88DE-C9A285145694}" name="HMO" dataDxfId="16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57E0E3C-0159-40E4-BC95-1A93B962A8A6}" name="Table2131214" displayName="Table2131214" ref="I4:M9" totalsRowShown="0">
  <autoFilter ref="I4:M9" xr:uid="{0397152A-D7BB-40C1-8867-984FD4DA2C78}"/>
  <tableColumns count="5">
    <tableColumn id="1" xr3:uid="{54D74F3C-97F5-4D72-824D-158CB77471EC}" name="Salary tier"/>
    <tableColumn id="2" xr3:uid="{0F773B48-3D49-4494-BCAB-5836FCE6D0E2}" name="PPO" dataDxfId="15" dataCellStyle="Percent">
      <calculatedColumnFormula>VLOOKUP(Year1UHC&amp;$H5,$A$1:$F$960,COLUMN(C$5),0)/VLOOKUP(Year2UHC&amp;$H5,$A$1:$F$960,COLUMN(C$5),0)-1</calculatedColumnFormula>
    </tableColumn>
    <tableColumn id="3" xr3:uid="{EE6C3ACD-E14A-43FA-926F-2182183254A7}" name="HSA+" dataDxfId="14" dataCellStyle="Percent">
      <calculatedColumnFormula>VLOOKUP(Year1UHC&amp;$H5,$A$1:$F$960,COLUMN(D$5),0)/VLOOKUP(Year2UHC&amp;$H5,$A$1:$F$960,COLUMN(D$5),0)-1</calculatedColumnFormula>
    </tableColumn>
    <tableColumn id="4" xr3:uid="{F03D1CAF-08FF-416B-98D3-214156407CE3}" name="HSAe" dataDxfId="13" dataCellStyle="Percent">
      <calculatedColumnFormula>VLOOKUP(Year1UHC&amp;$H5,$A$1:$F$960,COLUMN(E$5),0)/VLOOKUP(Year2UHC&amp;$H5,$A$1:$F$960,COLUMN(E$5),0)-1</calculatedColumnFormula>
    </tableColumn>
    <tableColumn id="5" xr3:uid="{9C03F8CB-0125-4C67-A799-E6E980C85895}" name="HMO" dataDxfId="12" dataCellStyle="Percent">
      <calculatedColumnFormula>VLOOKUP(Year1UHC&amp;$H5,$A$1:$F$960,COLUMN(F$5),0)/VLOOKUP(Year2UHC&amp;$H5,$A$1:$F$960,COLUMN(F$5),0)-1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5FE4F72-822F-438E-9860-A8DFC6C6A296}" name="Table2108915724" displayName="Table2108915724" ref="B14:F19" totalsRowShown="0">
  <autoFilter ref="B14:F19" xr:uid="{05FE4F72-822F-438E-9860-A8DFC6C6A296}"/>
  <tableColumns count="5">
    <tableColumn id="1" xr3:uid="{640785CA-0319-41A3-92DA-096F2CFA30FD}" name="Salary tier"/>
    <tableColumn id="2" xr3:uid="{D56BA5ED-C299-47A8-97AB-055E798DEBF1}" name="PPO" dataDxfId="11"/>
    <tableColumn id="3" xr3:uid="{AC1F8A79-5AAA-4BCE-BBE5-010ECDAF58AE}" name="HSA+" dataDxfId="10"/>
    <tableColumn id="4" xr3:uid="{7DBB5501-9B5D-48F2-89DD-6BD2A5633492}" name="HSAe" dataDxfId="9"/>
    <tableColumn id="5" xr3:uid="{6C5F6A68-3707-4F52-BB81-A607271B0613}" name="HMO" dataDxfId="8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DB07B0A-015F-4250-953B-EB835B3F6AA5}" name="Table210814825" displayName="Table210814825" ref="B24:F29" totalsRowShown="0">
  <autoFilter ref="B24:F29" xr:uid="{EDB07B0A-015F-4250-953B-EB835B3F6AA5}"/>
  <tableColumns count="5">
    <tableColumn id="1" xr3:uid="{B8583AF2-539E-4718-AB3A-5BD3298DAADC}" name="Salary tier"/>
    <tableColumn id="2" xr3:uid="{FB37B1B2-CDEF-4F4B-ABF7-F0A4C5FE277D}" name="PPPO" dataDxfId="7"/>
    <tableColumn id="3" xr3:uid="{0F685F4D-B8A9-457C-A649-FCE8559E8142}" name="SPPO" dataDxfId="6"/>
    <tableColumn id="4" xr3:uid="{AE6F114B-694F-46C0-84E7-03A244F4DF16}" name="VPPO" dataDxfId="5"/>
    <tableColumn id="5" xr3:uid="{06DFC9C8-8845-44AA-BB41-C7FFECB55E1D}" name="HMO" dataDxfId="4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DD232E1-6A9D-4967-B5EC-DE629817C152}" name="Table21011926" displayName="Table21011926" ref="B34:F39" totalsRowShown="0">
  <autoFilter ref="B34:F39" xr:uid="{8DD232E1-6A9D-4967-B5EC-DE629817C152}"/>
  <tableColumns count="5">
    <tableColumn id="1" xr3:uid="{7A5B366A-4A9E-4DC5-AAA8-381978C2A25C}" name="Salary tier"/>
    <tableColumn id="2" xr3:uid="{AADCF981-EE83-4090-87D4-69DB8C2A7339}" name="PPPO" dataDxfId="3"/>
    <tableColumn id="3" xr3:uid="{C49C7855-485B-46CE-B0BA-1AB03C7F66CC}" name="SPPO" dataDxfId="2"/>
    <tableColumn id="4" xr3:uid="{D5584E74-60D3-45DD-8796-C4E3F9EB1AB6}" name="VPPO" dataDxfId="1"/>
    <tableColumn id="5" xr3:uid="{3AA8A8DF-7F1F-4286-944D-6D1C1CB2D097}" name="HM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zoomScale="110" zoomScaleNormal="110" workbookViewId="0"/>
  </sheetViews>
  <sheetFormatPr defaultRowHeight="15"/>
  <cols>
    <col min="1" max="1" width="31.140625" customWidth="1"/>
    <col min="2" max="5" width="10" customWidth="1"/>
    <col min="7" max="8" width="20.28515625" customWidth="1"/>
    <col min="9" max="9" width="25" customWidth="1"/>
    <col min="11" max="11" width="14.85546875" customWidth="1"/>
    <col min="12" max="12" width="15.42578125" bestFit="1" customWidth="1"/>
    <col min="13" max="16" width="10" customWidth="1"/>
    <col min="18" max="18" width="11.85546875" customWidth="1"/>
  </cols>
  <sheetData>
    <row r="1" spans="1:16" ht="30">
      <c r="A1" t="s">
        <v>1</v>
      </c>
      <c r="B1" t="s">
        <v>34</v>
      </c>
      <c r="C1" t="s">
        <v>40</v>
      </c>
      <c r="D1" t="s">
        <v>41</v>
      </c>
      <c r="E1" t="s">
        <v>0</v>
      </c>
      <c r="G1" s="9" t="s">
        <v>6</v>
      </c>
      <c r="H1" s="9" t="s">
        <v>15</v>
      </c>
      <c r="I1" s="9" t="s">
        <v>20</v>
      </c>
      <c r="L1" t="s">
        <v>10</v>
      </c>
      <c r="M1" t="s">
        <v>34</v>
      </c>
      <c r="N1" t="s">
        <v>40</v>
      </c>
      <c r="O1" t="s">
        <v>41</v>
      </c>
      <c r="P1" t="s">
        <v>0</v>
      </c>
    </row>
    <row r="2" spans="1:16">
      <c r="A2" t="s">
        <v>56</v>
      </c>
      <c r="B2" s="3">
        <f>VLOOKUP($G$2,Table2[#All],COLUMN(),0)</f>
        <v>398</v>
      </c>
      <c r="C2" s="3">
        <f>VLOOKUP($G$2,Table2[#All],COLUMN(),0)</f>
        <v>281</v>
      </c>
      <c r="D2" s="3">
        <f>VLOOKUP($G$2,Table2[#All],COLUMN(),0)</f>
        <v>179</v>
      </c>
      <c r="E2" s="3">
        <f>VLOOKUP($G$2,Table2[#All],COLUMN(),0)</f>
        <v>372</v>
      </c>
      <c r="G2" s="10" t="s">
        <v>11</v>
      </c>
      <c r="H2" s="10" t="s">
        <v>18</v>
      </c>
      <c r="I2" s="14">
        <v>0.22</v>
      </c>
      <c r="L2" t="s">
        <v>12</v>
      </c>
      <c r="M2" s="1">
        <v>217</v>
      </c>
      <c r="N2" s="1">
        <v>128</v>
      </c>
      <c r="O2" s="1">
        <v>92</v>
      </c>
      <c r="P2" s="1">
        <v>168</v>
      </c>
    </row>
    <row r="3" spans="1:16">
      <c r="A3" t="s">
        <v>57</v>
      </c>
      <c r="B3" s="3"/>
      <c r="C3" s="3">
        <f>G6/12</f>
        <v>166.66666666666666</v>
      </c>
      <c r="D3" s="3">
        <f>G6/12</f>
        <v>166.66666666666666</v>
      </c>
      <c r="E3" s="3"/>
      <c r="L3" t="s">
        <v>11</v>
      </c>
      <c r="M3" s="1">
        <v>398</v>
      </c>
      <c r="N3" s="1">
        <v>281</v>
      </c>
      <c r="O3" s="1">
        <v>179</v>
      </c>
      <c r="P3" s="1">
        <v>372</v>
      </c>
    </row>
    <row r="4" spans="1:16">
      <c r="A4" t="s">
        <v>3</v>
      </c>
      <c r="B4" s="3">
        <f>B2*12</f>
        <v>4776</v>
      </c>
      <c r="C4" s="3">
        <f>C2*12</f>
        <v>3372</v>
      </c>
      <c r="D4" s="3">
        <f>D2*12</f>
        <v>2148</v>
      </c>
      <c r="E4" s="3">
        <f>E2*12</f>
        <v>4464</v>
      </c>
      <c r="G4" s="9" t="s">
        <v>24</v>
      </c>
      <c r="I4" s="13" t="s">
        <v>21</v>
      </c>
      <c r="L4" t="s">
        <v>26</v>
      </c>
      <c r="M4" s="1">
        <v>674</v>
      </c>
      <c r="N4" s="1">
        <v>508</v>
      </c>
      <c r="O4" s="1">
        <v>403</v>
      </c>
      <c r="P4" s="1">
        <v>604</v>
      </c>
    </row>
    <row r="5" spans="1:16">
      <c r="A5" t="s">
        <v>22</v>
      </c>
      <c r="B5" s="11">
        <f>-1 * B4 * ($I$2 + 4.95%)</f>
        <v>-1287.1320000000001</v>
      </c>
      <c r="C5" s="11">
        <f t="shared" ref="C5:E5" si="0">-1 * C4 * ($I$2 + 4.95%)</f>
        <v>-908.75400000000002</v>
      </c>
      <c r="D5" s="11">
        <f t="shared" si="0"/>
        <v>-578.88600000000008</v>
      </c>
      <c r="E5" s="11">
        <f t="shared" si="0"/>
        <v>-1203.048</v>
      </c>
      <c r="G5" s="9" t="s">
        <v>25</v>
      </c>
      <c r="I5" s="12">
        <v>0.1</v>
      </c>
      <c r="L5" t="s">
        <v>13</v>
      </c>
      <c r="M5" s="1">
        <v>951</v>
      </c>
      <c r="N5" s="1">
        <v>766</v>
      </c>
      <c r="O5" s="1">
        <v>631</v>
      </c>
      <c r="P5" s="1">
        <v>882</v>
      </c>
    </row>
    <row r="6" spans="1:16">
      <c r="A6" t="s">
        <v>2</v>
      </c>
      <c r="B6" s="4"/>
      <c r="C6" s="3">
        <f>-1*MIN(G6, 2000)</f>
        <v>-2000</v>
      </c>
      <c r="D6" s="3">
        <f>-1*MIN(G6, 2000)</f>
        <v>-2000</v>
      </c>
      <c r="E6" s="4"/>
      <c r="G6" s="16">
        <v>2000</v>
      </c>
      <c r="I6" s="12">
        <v>0.12</v>
      </c>
      <c r="L6" t="s">
        <v>14</v>
      </c>
      <c r="M6" s="1">
        <v>1488</v>
      </c>
      <c r="N6" s="1">
        <v>1191</v>
      </c>
      <c r="O6" s="1">
        <v>1008</v>
      </c>
      <c r="P6" s="1">
        <v>1392</v>
      </c>
    </row>
    <row r="7" spans="1:16">
      <c r="A7" t="s">
        <v>23</v>
      </c>
      <c r="B7" s="7"/>
      <c r="C7" s="11">
        <f>-1 * G6 * ($I$2 + 4.95%)</f>
        <v>-539</v>
      </c>
      <c r="D7" s="11">
        <f>-1 * G6 * ($I$2 + 4.95%)</f>
        <v>-539</v>
      </c>
      <c r="E7" s="7"/>
      <c r="G7" s="2" t="s">
        <v>63</v>
      </c>
      <c r="H7" s="17">
        <v>7000</v>
      </c>
      <c r="I7" s="12">
        <v>0.22</v>
      </c>
    </row>
    <row r="8" spans="1:16">
      <c r="A8" t="s">
        <v>53</v>
      </c>
      <c r="B8" s="5">
        <f>VLOOKUP($H$2,$L$9:$P$10,COLUMN(),0)</f>
        <v>750</v>
      </c>
      <c r="C8" s="5">
        <f>VLOOKUP($H$2,$L$9:$P$10,COLUMN(),0)</f>
        <v>2000</v>
      </c>
      <c r="D8" s="5">
        <f>VLOOKUP($H$2,$L$9:$P$10,COLUMN(),0)</f>
        <v>4000</v>
      </c>
      <c r="E8" s="5">
        <f>VLOOKUP($H$2,$L$9:$P$10,COLUMN(),0)</f>
        <v>0</v>
      </c>
      <c r="G8" s="2" t="s">
        <v>45</v>
      </c>
      <c r="I8" s="12">
        <v>0.24</v>
      </c>
      <c r="K8" t="s">
        <v>17</v>
      </c>
      <c r="L8" t="s">
        <v>16</v>
      </c>
      <c r="M8" t="s">
        <v>34</v>
      </c>
      <c r="N8" t="s">
        <v>40</v>
      </c>
      <c r="O8" t="s">
        <v>41</v>
      </c>
      <c r="P8" t="s">
        <v>0</v>
      </c>
    </row>
    <row r="9" spans="1:16">
      <c r="A9" t="s">
        <v>52</v>
      </c>
      <c r="B9" s="5">
        <f>VLOOKUP($H$2,$L$11:$P$12,COLUMN(),0)</f>
        <v>1500</v>
      </c>
      <c r="C9" s="5">
        <f>VLOOKUP($H$2,$L$11:$P$12,COLUMN(),0)</f>
        <v>4000</v>
      </c>
      <c r="D9" s="5">
        <f>VLOOKUP($H$2,$L$11:$P$12,COLUMN(),0)</f>
        <v>8000</v>
      </c>
      <c r="E9" s="5">
        <f>VLOOKUP($H$2,$L$11:$P$12,COLUMN(),0)</f>
        <v>0</v>
      </c>
      <c r="I9" s="12">
        <v>0.32</v>
      </c>
      <c r="K9" t="s">
        <v>46</v>
      </c>
      <c r="L9" t="s">
        <v>18</v>
      </c>
      <c r="M9" s="1">
        <v>750</v>
      </c>
      <c r="N9" s="1">
        <v>2000</v>
      </c>
      <c r="O9" s="1">
        <v>4000</v>
      </c>
      <c r="P9" s="1">
        <v>0</v>
      </c>
    </row>
    <row r="10" spans="1:16">
      <c r="A10" t="s">
        <v>55</v>
      </c>
      <c r="B10" s="5">
        <f>VLOOKUP($H$2,$L$16:$P$17,COLUMN(),0)</f>
        <v>3000</v>
      </c>
      <c r="C10" s="5">
        <f>VLOOKUP($H$2,$L$16:$P$17,COLUMN(),0)</f>
        <v>4000</v>
      </c>
      <c r="D10" s="5">
        <f>VLOOKUP($H$2,$L$16:$P$17,COLUMN(),0)</f>
        <v>7000</v>
      </c>
      <c r="E10" s="5">
        <f>VLOOKUP($H$2,$L$16:$P$17,COLUMN(),0)</f>
        <v>1500</v>
      </c>
      <c r="I10" s="12">
        <v>0.35</v>
      </c>
      <c r="K10" t="s">
        <v>46</v>
      </c>
      <c r="L10" t="s">
        <v>19</v>
      </c>
      <c r="M10" s="1">
        <v>1500</v>
      </c>
      <c r="N10" s="1">
        <v>4000</v>
      </c>
      <c r="O10" s="1">
        <v>8000</v>
      </c>
      <c r="P10" s="1" t="e">
        <v>#N/A</v>
      </c>
    </row>
    <row r="11" spans="1:16">
      <c r="A11" t="s">
        <v>54</v>
      </c>
      <c r="B11" s="5">
        <f>VLOOKUP($H$2,$L$18:$P$19,COLUMN(),0)</f>
        <v>6000</v>
      </c>
      <c r="C11" s="5">
        <f>VLOOKUP($H$2,$L$18:$P$19,COLUMN(),0)</f>
        <v>8000</v>
      </c>
      <c r="D11" s="5">
        <f>VLOOKUP($H$2,$L$18:$P$19,COLUMN(),0)</f>
        <v>14000</v>
      </c>
      <c r="E11" s="5">
        <f>VLOOKUP($H$2,$L$18:$P$19,COLUMN(),0)</f>
        <v>3000</v>
      </c>
      <c r="I11" s="12">
        <v>0.37</v>
      </c>
      <c r="K11" t="s">
        <v>43</v>
      </c>
      <c r="L11" t="s">
        <v>18</v>
      </c>
      <c r="M11" s="1">
        <v>1500</v>
      </c>
      <c r="N11" s="1">
        <v>4000</v>
      </c>
      <c r="O11" s="1">
        <v>8000</v>
      </c>
      <c r="P11" s="1">
        <v>0</v>
      </c>
    </row>
    <row r="12" spans="1:16">
      <c r="B12" s="6" t="str">
        <f>Table1[[#Headers],[PPO]]</f>
        <v>PPO</v>
      </c>
      <c r="C12" s="6" t="str">
        <f>Table1[[#Headers],[HSA+]]</f>
        <v>HSA+</v>
      </c>
      <c r="D12" s="6" t="str">
        <f>Table1[[#Headers],[HSAe]]</f>
        <v>HSAe</v>
      </c>
      <c r="E12" s="6" t="str">
        <f>Table1[[#Headers],[HMO]]</f>
        <v>HMO</v>
      </c>
      <c r="K12" t="s">
        <v>43</v>
      </c>
      <c r="L12" t="s">
        <v>19</v>
      </c>
      <c r="M12" s="1">
        <v>3000</v>
      </c>
      <c r="N12" s="1">
        <v>8000</v>
      </c>
      <c r="O12" s="1">
        <v>16000</v>
      </c>
      <c r="P12" s="1" t="e">
        <v>#N/A</v>
      </c>
    </row>
    <row r="13" spans="1:16">
      <c r="A13" t="s">
        <v>4</v>
      </c>
      <c r="B13" s="3">
        <f>SUM(B4:B7)</f>
        <v>3488.8679999999999</v>
      </c>
      <c r="C13" s="3">
        <f>SUM(C4:C7)</f>
        <v>-75.753999999999905</v>
      </c>
      <c r="D13" s="3">
        <f>SUM(D4:D7)</f>
        <v>-969.88599999999997</v>
      </c>
      <c r="E13" s="3">
        <f>SUM(E4:E7)</f>
        <v>3260.9520000000002</v>
      </c>
      <c r="M13" s="1"/>
      <c r="N13" s="1"/>
      <c r="O13" s="1"/>
      <c r="P13" s="1"/>
    </row>
    <row r="14" spans="1:16">
      <c r="A14" t="s">
        <v>48</v>
      </c>
      <c r="B14" s="3">
        <f>SUM(B4:B8)</f>
        <v>4238.8680000000004</v>
      </c>
      <c r="C14" s="3">
        <f>SUM(C4:C7,C9)</f>
        <v>3924.2460000000001</v>
      </c>
      <c r="D14" s="3">
        <f>SUM(D4:D8)</f>
        <v>3030.114</v>
      </c>
      <c r="E14" s="3">
        <f>SUM(E4:E8)</f>
        <v>3260.9520000000002</v>
      </c>
      <c r="J14" s="2"/>
    </row>
    <row r="15" spans="1:16" ht="15" customHeight="1">
      <c r="A15" t="s">
        <v>49</v>
      </c>
      <c r="B15" s="3">
        <f>SUM(B4:B7) + MIN(B8*2,B9)</f>
        <v>4988.8680000000004</v>
      </c>
      <c r="C15" s="3">
        <f>SUM(C4:C7) + C9</f>
        <v>3924.2460000000001</v>
      </c>
      <c r="D15" s="3">
        <f>SUM(D4:D7) + MIN(D8*2,D9)</f>
        <v>7030.1139999999996</v>
      </c>
      <c r="E15" s="3">
        <f>SUM(E4:E7) + MIN(E8*2,E9)</f>
        <v>3260.9520000000002</v>
      </c>
      <c r="H15" s="2"/>
      <c r="I15" s="2"/>
      <c r="J15" s="2"/>
      <c r="K15" s="8" t="s">
        <v>17</v>
      </c>
      <c r="L15" s="8" t="s">
        <v>16</v>
      </c>
      <c r="M15" t="s">
        <v>34</v>
      </c>
      <c r="N15" t="s">
        <v>40</v>
      </c>
      <c r="O15" t="s">
        <v>41</v>
      </c>
      <c r="P15" t="s">
        <v>0</v>
      </c>
    </row>
    <row r="16" spans="1:16">
      <c r="A16" t="s">
        <v>50</v>
      </c>
      <c r="B16" s="3">
        <f>SUM(B4:B7,B10)</f>
        <v>6488.8680000000004</v>
      </c>
      <c r="C16" s="3">
        <f>SUM(C4:C7,C10)</f>
        <v>3924.2460000000001</v>
      </c>
      <c r="D16" s="3">
        <f>SUM(D4:D7,D10)</f>
        <v>6030.1139999999996</v>
      </c>
      <c r="E16" s="3">
        <f>SUM(E4:E7,E10)</f>
        <v>4760.9520000000002</v>
      </c>
      <c r="K16" t="s">
        <v>47</v>
      </c>
      <c r="L16" t="s">
        <v>18</v>
      </c>
      <c r="M16" s="1">
        <v>3000</v>
      </c>
      <c r="N16" s="1">
        <v>4000</v>
      </c>
      <c r="O16" s="1">
        <v>7000</v>
      </c>
      <c r="P16" s="1">
        <v>1500</v>
      </c>
    </row>
    <row r="17" spans="1:16">
      <c r="A17" t="s">
        <v>58</v>
      </c>
      <c r="B17" s="3">
        <f>SUM(B4:B7) + MIN(SUM(B8,B10),B11)</f>
        <v>7238.8680000000004</v>
      </c>
      <c r="C17" s="3">
        <f>SUM(C4:C7) + MIN(IF(C10&gt;=C9,C10,C9),C11)</f>
        <v>3924.2460000000001</v>
      </c>
      <c r="D17" s="3">
        <f>SUM(D4:D7) + MIN(SUM(D8,D10),D11)</f>
        <v>10030.114</v>
      </c>
      <c r="E17" s="3">
        <f>SUM(E4:E7) + MIN(SUM(E8,E10),E11)</f>
        <v>4760.9520000000002</v>
      </c>
      <c r="K17" t="s">
        <v>47</v>
      </c>
      <c r="L17" t="s">
        <v>19</v>
      </c>
      <c r="M17" s="1">
        <v>6000</v>
      </c>
      <c r="N17" s="1">
        <v>8000</v>
      </c>
      <c r="O17" s="1">
        <v>14000</v>
      </c>
      <c r="P17" s="1" t="e">
        <v>#N/A</v>
      </c>
    </row>
    <row r="18" spans="1:16">
      <c r="A18" t="s">
        <v>51</v>
      </c>
      <c r="B18" s="3">
        <f>SUM(B4:B7) + MIN(B10*2,B11)</f>
        <v>9488.8680000000004</v>
      </c>
      <c r="C18" s="3">
        <f>SUM(C4:C7) + MIN(C10*2,C11)</f>
        <v>7924.2460000000001</v>
      </c>
      <c r="D18" s="3">
        <f>SUM(D4:D7) + MIN(D10*2,D11)</f>
        <v>13030.114</v>
      </c>
      <c r="E18" s="3">
        <f>SUM(E4:E7) + MIN(E10*2,E11)</f>
        <v>6260.9520000000002</v>
      </c>
      <c r="F18" s="2"/>
      <c r="G18" s="2"/>
      <c r="K18" t="s">
        <v>44</v>
      </c>
      <c r="L18" t="s">
        <v>18</v>
      </c>
      <c r="M18" s="1">
        <v>6000</v>
      </c>
      <c r="N18" s="1">
        <v>8000</v>
      </c>
      <c r="O18" s="1">
        <v>14000</v>
      </c>
      <c r="P18" s="1">
        <v>3000</v>
      </c>
    </row>
    <row r="19" spans="1:16">
      <c r="B19" s="22"/>
      <c r="C19" s="22"/>
      <c r="D19" s="22"/>
      <c r="E19" s="22"/>
      <c r="K19" t="s">
        <v>44</v>
      </c>
      <c r="L19" t="s">
        <v>19</v>
      </c>
      <c r="M19" s="1">
        <v>12000</v>
      </c>
      <c r="N19" s="1">
        <v>16000</v>
      </c>
      <c r="O19" s="1">
        <v>28000</v>
      </c>
      <c r="P19" s="1" t="e">
        <v>#N/A</v>
      </c>
    </row>
    <row r="20" spans="1:16">
      <c r="A20" t="s">
        <v>5</v>
      </c>
      <c r="B20" s="3">
        <f>AVERAGE(B13:B18)</f>
        <v>5988.8680000000013</v>
      </c>
      <c r="C20" s="3">
        <f>AVERAGE(C13:C18)</f>
        <v>3924.2459999999996</v>
      </c>
      <c r="D20" s="3">
        <f>AVERAGE(D13:D18)</f>
        <v>6363.4473333333335</v>
      </c>
      <c r="E20" s="3">
        <f>AVERAGE(E13:E18)</f>
        <v>4260.9520000000002</v>
      </c>
      <c r="M20" s="1"/>
      <c r="N20" s="1"/>
      <c r="O20" s="1"/>
      <c r="P20" s="1"/>
    </row>
    <row r="21" spans="1:16">
      <c r="A21" s="2" t="s">
        <v>59</v>
      </c>
      <c r="B21" s="7"/>
      <c r="C21" s="7"/>
      <c r="D21" s="7"/>
      <c r="E21" s="7"/>
    </row>
    <row r="22" spans="1:16">
      <c r="A22" s="2" t="s">
        <v>64</v>
      </c>
      <c r="B22" s="7"/>
      <c r="C22" s="7"/>
      <c r="D22" s="7"/>
      <c r="E22" s="7"/>
    </row>
    <row r="23" spans="1:16">
      <c r="A23" s="2" t="s">
        <v>62</v>
      </c>
      <c r="B23" s="7"/>
      <c r="C23" s="7"/>
      <c r="D23" s="7"/>
      <c r="E23" s="7"/>
    </row>
    <row r="24" spans="1:16">
      <c r="A24" s="2" t="s">
        <v>60</v>
      </c>
      <c r="B24" s="7"/>
      <c r="C24" s="7"/>
      <c r="D24" s="7"/>
      <c r="E24" s="7"/>
    </row>
    <row r="25" spans="1:16">
      <c r="A25" s="2" t="s">
        <v>65</v>
      </c>
      <c r="B25" s="7"/>
      <c r="C25" s="7"/>
      <c r="D25" s="7"/>
      <c r="E25" s="7"/>
    </row>
    <row r="26" spans="1:16">
      <c r="B26" s="15"/>
      <c r="C26" s="15"/>
      <c r="D26" s="15"/>
      <c r="E26" s="15"/>
    </row>
    <row r="27" spans="1:16">
      <c r="B27" s="15"/>
      <c r="C27" s="15"/>
      <c r="D27" s="15"/>
      <c r="E27" s="15"/>
    </row>
    <row r="28" spans="1:16">
      <c r="B28" s="7"/>
      <c r="C28" s="7"/>
      <c r="D28" s="7"/>
      <c r="E28" s="7"/>
    </row>
  </sheetData>
  <conditionalFormatting sqref="B13:E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E1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E1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E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E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E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E1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E2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4">
    <dataValidation type="list" allowBlank="1" showInputMessage="1" showErrorMessage="1" sqref="G2" xr:uid="{00000000-0002-0000-0000-000000000000}">
      <formula1>$L$2:$L$6</formula1>
    </dataValidation>
    <dataValidation type="list" allowBlank="1" showInputMessage="1" showErrorMessage="1" sqref="I2" xr:uid="{00000000-0002-0000-0000-000002000000}">
      <formula1>$I$5:$I$11</formula1>
    </dataValidation>
    <dataValidation type="decimal" allowBlank="1" showInputMessage="1" showErrorMessage="1" sqref="G6" xr:uid="{00000000-0002-0000-0000-000003000000}">
      <formula1>0</formula1>
      <formula2>H7</formula2>
    </dataValidation>
    <dataValidation type="list" allowBlank="1" showInputMessage="1" showErrorMessage="1" sqref="H2" xr:uid="{00000000-0002-0000-0000-000001000000}">
      <formula1>$L$9:$L$12</formula1>
    </dataValidation>
  </dataValidations>
  <pageMargins left="0.7" right="0.7" top="0.75" bottom="0.75" header="0.3" footer="0.3"/>
  <pageSetup orientation="portrait" r:id="rId1"/>
  <ignoredErrors>
    <ignoredError sqref="C14:C15 C17" formula="1"/>
  </ignoredErrors>
  <drawing r:id="rId2"/>
  <legacyDrawing r:id="rId3"/>
  <tableParts count="5"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BD74-FB51-449E-8865-6FF7204D0968}">
  <dimension ref="A1:O40"/>
  <sheetViews>
    <sheetView zoomScale="130" zoomScaleNormal="130" workbookViewId="0"/>
  </sheetViews>
  <sheetFormatPr defaultRowHeight="15"/>
  <cols>
    <col min="2" max="2" width="12.42578125" customWidth="1"/>
    <col min="3" max="3" width="14.140625" customWidth="1"/>
    <col min="4" max="4" width="16.28515625" customWidth="1"/>
    <col min="5" max="5" width="16.42578125" customWidth="1"/>
    <col min="6" max="6" width="16.28515625" customWidth="1"/>
    <col min="7" max="8" width="14.140625" customWidth="1"/>
    <col min="9" max="13" width="14.28515625" customWidth="1"/>
  </cols>
  <sheetData>
    <row r="1" spans="1:15">
      <c r="B1" s="23">
        <v>2027</v>
      </c>
      <c r="C1" s="23"/>
      <c r="D1" s="23"/>
      <c r="E1" s="23"/>
      <c r="F1" s="23"/>
      <c r="I1" s="23" t="s">
        <v>61</v>
      </c>
      <c r="J1" s="23"/>
      <c r="K1" s="23"/>
      <c r="L1" s="23"/>
      <c r="M1" s="23"/>
      <c r="N1" s="20" t="s">
        <v>27</v>
      </c>
      <c r="O1" s="10">
        <v>2027</v>
      </c>
    </row>
    <row r="2" spans="1:15">
      <c r="B2" s="23"/>
      <c r="C2" s="23"/>
      <c r="D2" s="23"/>
      <c r="E2" s="23"/>
      <c r="F2" s="23"/>
      <c r="I2" s="23"/>
      <c r="J2" s="23"/>
      <c r="K2" s="23"/>
      <c r="L2" s="23"/>
      <c r="M2" s="23"/>
      <c r="N2" s="20" t="s">
        <v>28</v>
      </c>
      <c r="O2" s="10">
        <v>2026</v>
      </c>
    </row>
    <row r="4" spans="1:15">
      <c r="B4" t="s">
        <v>10</v>
      </c>
      <c r="C4" t="s">
        <v>34</v>
      </c>
      <c r="D4" t="s">
        <v>40</v>
      </c>
      <c r="E4" t="s">
        <v>41</v>
      </c>
      <c r="F4" t="s">
        <v>0</v>
      </c>
      <c r="I4" t="s">
        <v>10</v>
      </c>
      <c r="J4" t="s">
        <v>34</v>
      </c>
      <c r="K4" t="s">
        <v>40</v>
      </c>
      <c r="L4" t="s">
        <v>41</v>
      </c>
      <c r="M4" t="s">
        <v>0</v>
      </c>
    </row>
    <row r="5" spans="1:15">
      <c r="A5" s="21" t="str">
        <f>B$1&amp;H15</f>
        <v>2027A</v>
      </c>
      <c r="B5" t="s">
        <v>12</v>
      </c>
      <c r="C5" s="1">
        <v>217</v>
      </c>
      <c r="D5" s="1">
        <v>128</v>
      </c>
      <c r="E5" s="1">
        <v>92</v>
      </c>
      <c r="F5" s="1">
        <v>168</v>
      </c>
      <c r="H5" s="21" t="s">
        <v>29</v>
      </c>
      <c r="I5" t="s">
        <v>12</v>
      </c>
      <c r="J5" s="18">
        <f>VLOOKUP(Year1UHC&amp;$H5,$A$1:$F$960,COLUMN(C$5),0)/VLOOKUP(Year2UHC&amp;$H5,$A$1:$F$960,COLUMN(C$5),0)-1</f>
        <v>4.3269230769230838E-2</v>
      </c>
      <c r="K5" s="18">
        <f>VLOOKUP(Year1UHC&amp;$H5,$A$1:$F$960,COLUMN(D$5),0)/VLOOKUP(Year2UHC&amp;$H5,$A$1:$F$960,COLUMN(D$5),0)-1</f>
        <v>4.0650406504065151E-2</v>
      </c>
      <c r="L5" s="18">
        <f>VLOOKUP(Year1UHC&amp;$H5,$A$1:$F$960,COLUMN(E$5),0)/VLOOKUP(Year2UHC&amp;$H5,$A$1:$F$960,COLUMN(E$5),0)-1</f>
        <v>4.5454545454545414E-2</v>
      </c>
      <c r="M5" s="18">
        <f>VLOOKUP(Year1UHC&amp;$H5,$A$1:$F$960,COLUMN(F$5),0)/VLOOKUP(Year2UHC&amp;$H5,$A$1:$F$960,COLUMN(F$5),0)-1</f>
        <v>7.6923076923076872E-2</v>
      </c>
    </row>
    <row r="6" spans="1:15">
      <c r="A6" s="21" t="str">
        <f>B$1&amp;H16</f>
        <v>2027B</v>
      </c>
      <c r="B6" t="s">
        <v>11</v>
      </c>
      <c r="C6" s="1">
        <v>398</v>
      </c>
      <c r="D6" s="1">
        <v>281</v>
      </c>
      <c r="E6" s="1">
        <v>179</v>
      </c>
      <c r="F6" s="1">
        <v>372</v>
      </c>
      <c r="H6" s="21" t="s">
        <v>30</v>
      </c>
      <c r="I6" t="s">
        <v>11</v>
      </c>
      <c r="J6" s="18">
        <f>VLOOKUP(Year1UHC&amp;$H6,$A$1:$F$960,COLUMN(C$5),0)/VLOOKUP(Year2UHC&amp;$H6,$A$1:$F$960,COLUMN(C$5),0)-1</f>
        <v>4.1884816753926746E-2</v>
      </c>
      <c r="K6" s="18">
        <f>VLOOKUP(Year1UHC&amp;$H6,$A$1:$F$960,COLUMN(D$5),0)/VLOOKUP(Year2UHC&amp;$H6,$A$1:$F$960,COLUMN(D$5),0)-1</f>
        <v>4.0740740740740744E-2</v>
      </c>
      <c r="L6" s="18">
        <f>VLOOKUP(Year1UHC&amp;$H6,$A$1:$F$960,COLUMN(E$5),0)/VLOOKUP(Year2UHC&amp;$H6,$A$1:$F$960,COLUMN(E$5),0)-1</f>
        <v>4.0697674418604723E-2</v>
      </c>
      <c r="M6" s="18">
        <f>VLOOKUP(Year1UHC&amp;$H6,$A$1:$F$960,COLUMN(F$5),0)/VLOOKUP(Year2UHC&amp;$H6,$A$1:$F$960,COLUMN(F$5),0)-1</f>
        <v>7.5144508670520249E-2</v>
      </c>
    </row>
    <row r="7" spans="1:15">
      <c r="A7" s="21" t="str">
        <f>B$1&amp;H17</f>
        <v>2027C</v>
      </c>
      <c r="B7" t="s">
        <v>26</v>
      </c>
      <c r="C7" s="1">
        <v>674</v>
      </c>
      <c r="D7" s="1">
        <v>508</v>
      </c>
      <c r="E7" s="1">
        <v>403</v>
      </c>
      <c r="F7" s="1">
        <v>604</v>
      </c>
      <c r="H7" s="21" t="s">
        <v>31</v>
      </c>
      <c r="I7" t="s">
        <v>26</v>
      </c>
      <c r="J7" s="18">
        <f>VLOOKUP(Year1UHC&amp;$H7,$A$1:$F$960,COLUMN(C$5),0)/VLOOKUP(Year2UHC&amp;$H7,$A$1:$F$960,COLUMN(C$5),0)-1</f>
        <v>4.1731066460587218E-2</v>
      </c>
      <c r="K7" s="18">
        <f>VLOOKUP(Year1UHC&amp;$H7,$A$1:$F$960,COLUMN(D$5),0)/VLOOKUP(Year2UHC&amp;$H7,$A$1:$F$960,COLUMN(D$5),0)-1</f>
        <v>4.0983606557376984E-2</v>
      </c>
      <c r="L7" s="18">
        <f>VLOOKUP(Year1UHC&amp;$H7,$A$1:$F$960,COLUMN(E$5),0)/VLOOKUP(Year2UHC&amp;$H7,$A$1:$F$960,COLUMN(E$5),0)-1</f>
        <v>4.134366925064592E-2</v>
      </c>
      <c r="M7" s="18">
        <f>VLOOKUP(Year1UHC&amp;$H7,$A$1:$F$960,COLUMN(F$5),0)/VLOOKUP(Year2UHC&amp;$H7,$A$1:$F$960,COLUMN(F$5),0)-1</f>
        <v>7.4733096085409345E-2</v>
      </c>
    </row>
    <row r="8" spans="1:15">
      <c r="A8" s="21" t="str">
        <f>B$1&amp;H18</f>
        <v>2027D</v>
      </c>
      <c r="B8" t="s">
        <v>13</v>
      </c>
      <c r="C8" s="1">
        <v>951</v>
      </c>
      <c r="D8" s="1">
        <v>766</v>
      </c>
      <c r="E8" s="1">
        <v>631</v>
      </c>
      <c r="F8" s="1">
        <v>882</v>
      </c>
      <c r="H8" s="21" t="s">
        <v>32</v>
      </c>
      <c r="I8" t="s">
        <v>13</v>
      </c>
      <c r="J8" s="18">
        <f>VLOOKUP(Year1UHC&amp;$H8,$A$1:$F$960,COLUMN(C$5),0)/VLOOKUP(Year2UHC&amp;$H8,$A$1:$F$960,COLUMN(C$5),0)-1</f>
        <v>4.1621029572836754E-2</v>
      </c>
      <c r="K8" s="18">
        <f>VLOOKUP(Year1UHC&amp;$H8,$A$1:$F$960,COLUMN(D$5),0)/VLOOKUP(Year2UHC&amp;$H8,$A$1:$F$960,COLUMN(D$5),0)-1</f>
        <v>4.2176870748299233E-2</v>
      </c>
      <c r="L8" s="18">
        <f>VLOOKUP(Year1UHC&amp;$H8,$A$1:$F$960,COLUMN(E$5),0)/VLOOKUP(Year2UHC&amp;$H8,$A$1:$F$960,COLUMN(E$5),0)-1</f>
        <v>4.1254125412541365E-2</v>
      </c>
      <c r="M8" s="18">
        <f>VLOOKUP(Year1UHC&amp;$H8,$A$1:$F$960,COLUMN(F$5),0)/VLOOKUP(Year2UHC&amp;$H8,$A$1:$F$960,COLUMN(F$5),0)-1</f>
        <v>7.4299634591961095E-2</v>
      </c>
    </row>
    <row r="9" spans="1:15">
      <c r="A9" s="21" t="str">
        <f>B$1&amp;H19</f>
        <v>2027E</v>
      </c>
      <c r="B9" t="s">
        <v>14</v>
      </c>
      <c r="C9" s="1">
        <v>1488</v>
      </c>
      <c r="D9" s="1">
        <v>1191</v>
      </c>
      <c r="E9" s="1">
        <v>1008</v>
      </c>
      <c r="F9" s="1">
        <v>1392</v>
      </c>
      <c r="H9" s="21" t="s">
        <v>33</v>
      </c>
      <c r="I9" t="s">
        <v>14</v>
      </c>
      <c r="J9" s="18">
        <f>VLOOKUP(Year1UHC&amp;$H9,$A$1:$F$960,COLUMN(C$5),0)/VLOOKUP(Year2UHC&amp;$H9,$A$1:$F$960,COLUMN(C$5),0)-1</f>
        <v>4.2016806722689148E-2</v>
      </c>
      <c r="K9" s="18">
        <f>VLOOKUP(Year1UHC&amp;$H9,$A$1:$F$960,COLUMN(D$5),0)/VLOOKUP(Year2UHC&amp;$H9,$A$1:$F$960,COLUMN(D$5),0)-1</f>
        <v>4.1994750656167978E-2</v>
      </c>
      <c r="L9" s="18">
        <f>VLOOKUP(Year1UHC&amp;$H9,$A$1:$F$960,COLUMN(E$5),0)/VLOOKUP(Year2UHC&amp;$H9,$A$1:$F$960,COLUMN(E$5),0)-1</f>
        <v>4.2399172699069343E-2</v>
      </c>
      <c r="M9" s="18">
        <f>VLOOKUP(Year1UHC&amp;$H9,$A$1:$F$960,COLUMN(F$5),0)/VLOOKUP(Year2UHC&amp;$H9,$A$1:$F$960,COLUMN(F$5),0)-1</f>
        <v>7.4903474903474931E-2</v>
      </c>
    </row>
    <row r="11" spans="1:15" ht="15" customHeight="1">
      <c r="B11" s="23">
        <v>2026</v>
      </c>
      <c r="C11" s="23"/>
      <c r="D11" s="23"/>
      <c r="E11" s="23"/>
      <c r="F11" s="23"/>
      <c r="I11" s="23" t="s">
        <v>35</v>
      </c>
      <c r="J11" s="23"/>
      <c r="K11" s="23"/>
      <c r="L11" s="23"/>
      <c r="M11" s="23"/>
    </row>
    <row r="12" spans="1:15" ht="15" customHeight="1">
      <c r="B12" s="23"/>
      <c r="C12" s="23"/>
      <c r="D12" s="23"/>
      <c r="E12" s="23"/>
      <c r="F12" s="23"/>
      <c r="I12" s="23"/>
      <c r="J12" s="23"/>
      <c r="K12" s="23"/>
      <c r="L12" s="23"/>
      <c r="M12" s="23"/>
    </row>
    <row r="14" spans="1:15">
      <c r="B14" t="s">
        <v>10</v>
      </c>
      <c r="C14" t="s">
        <v>34</v>
      </c>
      <c r="D14" t="s">
        <v>40</v>
      </c>
      <c r="E14" t="s">
        <v>41</v>
      </c>
      <c r="F14" t="s">
        <v>0</v>
      </c>
      <c r="I14" t="s">
        <v>10</v>
      </c>
      <c r="J14" t="s">
        <v>37</v>
      </c>
      <c r="K14" t="s">
        <v>39</v>
      </c>
      <c r="L14" t="s">
        <v>42</v>
      </c>
      <c r="M14" t="s">
        <v>38</v>
      </c>
    </row>
    <row r="15" spans="1:15">
      <c r="A15" s="21" t="str">
        <f>B$11&amp;H15</f>
        <v>2026A</v>
      </c>
      <c r="B15" t="s">
        <v>12</v>
      </c>
      <c r="C15" s="1">
        <v>208</v>
      </c>
      <c r="D15" s="1">
        <v>123</v>
      </c>
      <c r="E15" s="1">
        <v>88</v>
      </c>
      <c r="F15" s="1">
        <v>156</v>
      </c>
      <c r="H15" s="21" t="s">
        <v>29</v>
      </c>
      <c r="I15" t="s">
        <v>12</v>
      </c>
      <c r="J15" s="18">
        <f t="shared" ref="J15:K19" si="0">C15/D25-1</f>
        <v>3.4825870646766122E-2</v>
      </c>
      <c r="K15" s="18">
        <f t="shared" si="0"/>
        <v>0.66216216216216206</v>
      </c>
      <c r="L15" s="18">
        <f t="shared" ref="L15:M19" si="1">E15/E25-1</f>
        <v>0.18918918918918926</v>
      </c>
      <c r="M15" s="18">
        <f t="shared" si="1"/>
        <v>-0.62409638554216862</v>
      </c>
    </row>
    <row r="16" spans="1:15">
      <c r="A16" s="21" t="str">
        <f>B$11&amp;H16</f>
        <v>2026B</v>
      </c>
      <c r="B16" t="s">
        <v>11</v>
      </c>
      <c r="C16" s="1">
        <v>382</v>
      </c>
      <c r="D16" s="1">
        <v>270</v>
      </c>
      <c r="E16" s="1">
        <v>172</v>
      </c>
      <c r="F16" s="1">
        <v>346</v>
      </c>
      <c r="H16" s="21" t="s">
        <v>30</v>
      </c>
      <c r="I16" t="s">
        <v>11</v>
      </c>
      <c r="J16" s="18">
        <f t="shared" si="0"/>
        <v>4.0871934604904681E-2</v>
      </c>
      <c r="K16" s="18">
        <f t="shared" si="0"/>
        <v>0.73076923076923084</v>
      </c>
      <c r="L16" s="18">
        <f t="shared" si="1"/>
        <v>0.10256410256410264</v>
      </c>
      <c r="M16" s="18">
        <f t="shared" si="1"/>
        <v>-0.36162361623616235</v>
      </c>
    </row>
    <row r="17" spans="1:15">
      <c r="A17" s="21" t="str">
        <f>B$11&amp;H17</f>
        <v>2026C</v>
      </c>
      <c r="B17" t="s">
        <v>26</v>
      </c>
      <c r="C17" s="1">
        <v>647</v>
      </c>
      <c r="D17" s="1">
        <v>488</v>
      </c>
      <c r="E17" s="1">
        <v>387</v>
      </c>
      <c r="F17" s="1">
        <v>562</v>
      </c>
      <c r="H17" s="21" t="s">
        <v>31</v>
      </c>
      <c r="I17" t="s">
        <v>26</v>
      </c>
      <c r="J17" s="18">
        <f t="shared" si="0"/>
        <v>8.7394957983193189E-2</v>
      </c>
      <c r="K17" s="18">
        <f t="shared" si="0"/>
        <v>0.37464788732394361</v>
      </c>
      <c r="L17" s="18">
        <f t="shared" si="1"/>
        <v>9.0140845070422637E-2</v>
      </c>
      <c r="M17" s="18">
        <f t="shared" si="1"/>
        <v>-0.20396600566572243</v>
      </c>
    </row>
    <row r="18" spans="1:15">
      <c r="A18" s="21" t="str">
        <f>B$11&amp;H18</f>
        <v>2026D</v>
      </c>
      <c r="B18" t="s">
        <v>13</v>
      </c>
      <c r="C18" s="1">
        <v>913</v>
      </c>
      <c r="D18" s="1">
        <v>735</v>
      </c>
      <c r="E18" s="1">
        <v>606</v>
      </c>
      <c r="F18" s="1">
        <v>821</v>
      </c>
      <c r="H18" s="21" t="s">
        <v>32</v>
      </c>
      <c r="I18" t="s">
        <v>13</v>
      </c>
      <c r="J18" s="18">
        <f t="shared" si="0"/>
        <v>4.5819014891179899E-2</v>
      </c>
      <c r="K18" s="18">
        <f t="shared" si="0"/>
        <v>0.30782918149466187</v>
      </c>
      <c r="L18" s="18">
        <f t="shared" si="1"/>
        <v>7.8291814946619187E-2</v>
      </c>
      <c r="M18" s="18">
        <f t="shared" si="1"/>
        <v>-8.4726867335563005E-2</v>
      </c>
    </row>
    <row r="19" spans="1:15">
      <c r="A19" s="21" t="str">
        <f>B$11&amp;H19</f>
        <v>2026E</v>
      </c>
      <c r="B19" t="s">
        <v>14</v>
      </c>
      <c r="C19" s="1">
        <v>1428</v>
      </c>
      <c r="D19" s="1">
        <v>1143</v>
      </c>
      <c r="E19" s="1">
        <v>967</v>
      </c>
      <c r="F19" s="1">
        <v>1295</v>
      </c>
      <c r="H19" s="21" t="s">
        <v>33</v>
      </c>
      <c r="I19" t="s">
        <v>14</v>
      </c>
      <c r="J19" s="18">
        <f t="shared" si="0"/>
        <v>0.12885375494071138</v>
      </c>
      <c r="K19" s="18">
        <f t="shared" si="0"/>
        <v>0.34154929577464799</v>
      </c>
      <c r="L19" s="18">
        <f t="shared" si="1"/>
        <v>0.13497652582159625</v>
      </c>
      <c r="M19" s="18">
        <f t="shared" si="1"/>
        <v>7.8268109908409711E-2</v>
      </c>
    </row>
    <row r="21" spans="1:15" ht="15" customHeight="1">
      <c r="B21" s="23">
        <v>2025</v>
      </c>
      <c r="C21" s="23"/>
      <c r="D21" s="23"/>
      <c r="E21" s="23"/>
      <c r="F21" s="23"/>
      <c r="I21" s="23" t="s">
        <v>36</v>
      </c>
      <c r="J21" s="23"/>
      <c r="K21" s="23"/>
      <c r="L21" s="23"/>
      <c r="M21" s="23"/>
      <c r="N21" s="20" t="s">
        <v>27</v>
      </c>
      <c r="O21" s="10">
        <v>2025</v>
      </c>
    </row>
    <row r="22" spans="1:15" ht="15" customHeight="1">
      <c r="B22" s="23"/>
      <c r="C22" s="23"/>
      <c r="D22" s="23"/>
      <c r="E22" s="23"/>
      <c r="F22" s="23"/>
      <c r="I22" s="23"/>
      <c r="J22" s="23"/>
      <c r="K22" s="23"/>
      <c r="L22" s="23"/>
      <c r="M22" s="23"/>
      <c r="N22" s="20" t="s">
        <v>28</v>
      </c>
      <c r="O22" s="10">
        <v>2024</v>
      </c>
    </row>
    <row r="24" spans="1:15">
      <c r="B24" t="s">
        <v>10</v>
      </c>
      <c r="C24" t="s">
        <v>7</v>
      </c>
      <c r="D24" t="s">
        <v>8</v>
      </c>
      <c r="E24" t="s">
        <v>9</v>
      </c>
      <c r="F24" t="s">
        <v>0</v>
      </c>
      <c r="I24" t="s">
        <v>10</v>
      </c>
      <c r="J24" t="s">
        <v>7</v>
      </c>
      <c r="K24" t="s">
        <v>8</v>
      </c>
      <c r="L24" t="s">
        <v>9</v>
      </c>
      <c r="M24" t="s">
        <v>0</v>
      </c>
    </row>
    <row r="25" spans="1:15">
      <c r="A25" s="21" t="str">
        <f>B$21&amp;$H15</f>
        <v>2025A</v>
      </c>
      <c r="B25" t="s">
        <v>12</v>
      </c>
      <c r="C25" s="1">
        <v>995</v>
      </c>
      <c r="D25" s="1">
        <v>201</v>
      </c>
      <c r="E25" s="1">
        <v>74</v>
      </c>
      <c r="F25" s="1">
        <v>415</v>
      </c>
      <c r="H25" s="21" t="s">
        <v>29</v>
      </c>
      <c r="I25" t="s">
        <v>12</v>
      </c>
      <c r="J25" s="18">
        <f>VLOOKUP(Year1BCBS&amp;$H25,$A$1:$F$960,COLUMN(C$25),0)/VLOOKUP(Year2BCBS&amp;$H25,$A$1:$F$960,COLUMN(C$25),0)-1</f>
        <v>0.15295480880648893</v>
      </c>
      <c r="K25" s="18">
        <f>VLOOKUP(Year1BCBS&amp;$H25,$A$1:$F$960,COLUMN(D$25),0)/VLOOKUP(Year2BCBS&amp;$H25,$A$1:$F$960,COLUMN(D$25),0)-1</f>
        <v>0.15517241379310343</v>
      </c>
      <c r="L25" s="18">
        <f>VLOOKUP(Year1BCBS&amp;$H25,$A$1:$F$960,COLUMN(E$25),0)/VLOOKUP(Year2BCBS&amp;$H25,$A$1:$F$960,COLUMN(E$25),0)-1</f>
        <v>0.15625</v>
      </c>
      <c r="M25" s="18">
        <f>VLOOKUP(Year1BCBS&amp;$H25,$A$1:$F$960,COLUMN(F$25),0)/VLOOKUP(Year2BCBS&amp;$H25,$A$1:$F$960,COLUMN(F$25),0)-1</f>
        <v>0.15277777777777768</v>
      </c>
    </row>
    <row r="26" spans="1:15">
      <c r="A26" s="21" t="str">
        <f>B$21&amp;$H16</f>
        <v>2025B</v>
      </c>
      <c r="B26" t="s">
        <v>11</v>
      </c>
      <c r="C26" s="1">
        <v>1186</v>
      </c>
      <c r="D26" s="1">
        <v>367</v>
      </c>
      <c r="E26" s="1">
        <v>156</v>
      </c>
      <c r="F26" s="1">
        <v>542</v>
      </c>
      <c r="H26" s="21" t="s">
        <v>30</v>
      </c>
      <c r="I26" t="s">
        <v>11</v>
      </c>
      <c r="J26" s="18">
        <f>VLOOKUP(Year1BCBS&amp;$H26,$A$1:$F$960,COLUMN(C$25),0)/VLOOKUP(Year2BCBS&amp;$H26,$A$1:$F$960,COLUMN(C$25),0)-1</f>
        <v>0.15257531584062201</v>
      </c>
      <c r="K26" s="18">
        <f>VLOOKUP(Year1BCBS&amp;$H26,$A$1:$F$960,COLUMN(D$25),0)/VLOOKUP(Year2BCBS&amp;$H26,$A$1:$F$960,COLUMN(D$25),0)-1</f>
        <v>0.15408805031446549</v>
      </c>
      <c r="L26" s="18">
        <f>VLOOKUP(Year1BCBS&amp;$H26,$A$1:$F$960,COLUMN(E$25),0)/VLOOKUP(Year2BCBS&amp;$H26,$A$1:$F$960,COLUMN(E$25),0)-1</f>
        <v>0.15555555555555545</v>
      </c>
      <c r="M26" s="18">
        <f>VLOOKUP(Year1BCBS&amp;$H26,$A$1:$F$960,COLUMN(F$25),0)/VLOOKUP(Year2BCBS&amp;$H26,$A$1:$F$960,COLUMN(F$25),0)-1</f>
        <v>0.15319148936170213</v>
      </c>
    </row>
    <row r="27" spans="1:15">
      <c r="A27" s="21" t="str">
        <f>B$21&amp;$H17</f>
        <v>2025C</v>
      </c>
      <c r="B27" t="s">
        <v>26</v>
      </c>
      <c r="C27" s="1">
        <v>1430</v>
      </c>
      <c r="D27" s="1">
        <v>595</v>
      </c>
      <c r="E27" s="1">
        <v>355</v>
      </c>
      <c r="F27" s="1">
        <v>706</v>
      </c>
      <c r="H27" s="21" t="s">
        <v>31</v>
      </c>
      <c r="I27" t="s">
        <v>26</v>
      </c>
      <c r="J27" s="18">
        <f>VLOOKUP(Year1BCBS&amp;$H27,$A$1:$F$960,COLUMN(C$25),0)/VLOOKUP(Year2BCBS&amp;$H27,$A$1:$F$960,COLUMN(C$25),0)-1</f>
        <v>0.15322580645161299</v>
      </c>
      <c r="K27" s="18">
        <f>VLOOKUP(Year1BCBS&amp;$H27,$A$1:$F$960,COLUMN(D$25),0)/VLOOKUP(Year2BCBS&amp;$H27,$A$1:$F$960,COLUMN(D$25),0)-1</f>
        <v>0.1531007751937985</v>
      </c>
      <c r="L27" s="18">
        <f>VLOOKUP(Year1BCBS&amp;$H27,$A$1:$F$960,COLUMN(E$25),0)/VLOOKUP(Year2BCBS&amp;$H27,$A$1:$F$960,COLUMN(E$25),0)-1</f>
        <v>0.15259740259740262</v>
      </c>
      <c r="M27" s="18">
        <f>VLOOKUP(Year1BCBS&amp;$H27,$A$1:$F$960,COLUMN(F$25),0)/VLOOKUP(Year2BCBS&amp;$H27,$A$1:$F$960,COLUMN(F$25),0)-1</f>
        <v>0.15359477124182996</v>
      </c>
    </row>
    <row r="28" spans="1:15">
      <c r="A28" s="21" t="str">
        <f>B$21&amp;$H18</f>
        <v>2025D</v>
      </c>
      <c r="B28" t="s">
        <v>13</v>
      </c>
      <c r="C28" s="1">
        <v>1751</v>
      </c>
      <c r="D28" s="1">
        <v>873</v>
      </c>
      <c r="E28" s="1">
        <v>562</v>
      </c>
      <c r="F28" s="1">
        <v>897</v>
      </c>
      <c r="H28" s="21" t="s">
        <v>32</v>
      </c>
      <c r="I28" t="s">
        <v>13</v>
      </c>
      <c r="J28" s="18">
        <f>VLOOKUP(Year1BCBS&amp;$H28,$A$1:$F$960,COLUMN(C$25),0)/VLOOKUP(Year2BCBS&amp;$H28,$A$1:$F$960,COLUMN(C$25),0)-1</f>
        <v>0.15273206056616195</v>
      </c>
      <c r="K28" s="18">
        <f>VLOOKUP(Year1BCBS&amp;$H28,$A$1:$F$960,COLUMN(D$25),0)/VLOOKUP(Year2BCBS&amp;$H28,$A$1:$F$960,COLUMN(D$25),0)-1</f>
        <v>0.15323645970937916</v>
      </c>
      <c r="L28" s="18">
        <f>VLOOKUP(Year1BCBS&amp;$H28,$A$1:$F$960,COLUMN(E$25),0)/VLOOKUP(Year2BCBS&amp;$H28,$A$1:$F$960,COLUMN(E$25),0)-1</f>
        <v>0.15400410677618059</v>
      </c>
      <c r="M28" s="18">
        <f>VLOOKUP(Year1BCBS&amp;$H28,$A$1:$F$960,COLUMN(F$25),0)/VLOOKUP(Year2BCBS&amp;$H28,$A$1:$F$960,COLUMN(F$25),0)-1</f>
        <v>0.15295629820051415</v>
      </c>
    </row>
    <row r="29" spans="1:15">
      <c r="A29" s="21" t="str">
        <f>B$21&amp;$H19</f>
        <v>2025E</v>
      </c>
      <c r="B29" t="s">
        <v>14</v>
      </c>
      <c r="C29" s="1">
        <v>2210</v>
      </c>
      <c r="D29" s="1">
        <v>1265</v>
      </c>
      <c r="E29" s="1">
        <v>852</v>
      </c>
      <c r="F29" s="1">
        <v>1201</v>
      </c>
      <c r="H29" s="21" t="s">
        <v>33</v>
      </c>
      <c r="I29" t="s">
        <v>14</v>
      </c>
      <c r="J29" s="18">
        <f>VLOOKUP(Year1BCBS&amp;$H29,$A$1:$F$960,COLUMN(C$25),0)/VLOOKUP(Year2BCBS&amp;$H29,$A$1:$F$960,COLUMN(C$25),0)-1</f>
        <v>0.15284298382889938</v>
      </c>
      <c r="K29" s="18">
        <f>VLOOKUP(Year1BCBS&amp;$H29,$A$1:$F$960,COLUMN(D$25),0)/VLOOKUP(Year2BCBS&amp;$H29,$A$1:$F$960,COLUMN(D$25),0)-1</f>
        <v>0.15314494074749319</v>
      </c>
      <c r="L29" s="18">
        <f>VLOOKUP(Year1BCBS&amp;$H29,$A$1:$F$960,COLUMN(E$25),0)/VLOOKUP(Year2BCBS&amp;$H29,$A$1:$F$960,COLUMN(E$25),0)-1</f>
        <v>0.1529093369418133</v>
      </c>
      <c r="M29" s="18">
        <f>VLOOKUP(Year1BCBS&amp;$H29,$A$1:$F$960,COLUMN(F$25),0)/VLOOKUP(Year2BCBS&amp;$H29,$A$1:$F$960,COLUMN(F$25),0)-1</f>
        <v>0.1525911708253358</v>
      </c>
    </row>
    <row r="31" spans="1:15" ht="15" customHeight="1">
      <c r="B31" s="23">
        <v>2024</v>
      </c>
      <c r="C31" s="23"/>
      <c r="D31" s="23"/>
      <c r="E31" s="23"/>
      <c r="F31" s="23"/>
    </row>
    <row r="32" spans="1:15" ht="15" customHeight="1">
      <c r="B32" s="23"/>
      <c r="C32" s="23"/>
      <c r="D32" s="23"/>
      <c r="E32" s="23"/>
      <c r="F32" s="23"/>
      <c r="H32" s="19"/>
    </row>
    <row r="34" spans="1:6">
      <c r="B34" t="s">
        <v>10</v>
      </c>
      <c r="C34" t="s">
        <v>7</v>
      </c>
      <c r="D34" t="s">
        <v>8</v>
      </c>
      <c r="E34" t="s">
        <v>9</v>
      </c>
      <c r="F34" t="s">
        <v>0</v>
      </c>
    </row>
    <row r="35" spans="1:6">
      <c r="A35" s="21" t="str">
        <f>B$31&amp;$H15</f>
        <v>2024A</v>
      </c>
      <c r="B35" t="s">
        <v>12</v>
      </c>
      <c r="C35" s="1">
        <v>863</v>
      </c>
      <c r="D35" s="1">
        <v>174</v>
      </c>
      <c r="E35" s="1">
        <v>64</v>
      </c>
      <c r="F35" s="1">
        <v>360</v>
      </c>
    </row>
    <row r="36" spans="1:6">
      <c r="A36" s="21" t="str">
        <f>B$31&amp;$H16</f>
        <v>2024B</v>
      </c>
      <c r="B36" t="s">
        <v>11</v>
      </c>
      <c r="C36" s="1">
        <v>1029</v>
      </c>
      <c r="D36" s="1">
        <v>318</v>
      </c>
      <c r="E36" s="1">
        <v>135</v>
      </c>
      <c r="F36" s="1">
        <v>470</v>
      </c>
    </row>
    <row r="37" spans="1:6">
      <c r="A37" s="21" t="str">
        <f>B$31&amp;$H17</f>
        <v>2024C</v>
      </c>
      <c r="B37" t="s">
        <v>26</v>
      </c>
      <c r="C37" s="1">
        <v>1240</v>
      </c>
      <c r="D37" s="1">
        <v>516</v>
      </c>
      <c r="E37" s="1">
        <v>308</v>
      </c>
      <c r="F37" s="1">
        <v>612</v>
      </c>
    </row>
    <row r="38" spans="1:6">
      <c r="A38" s="21" t="str">
        <f>B$31&amp;$H18</f>
        <v>2024D</v>
      </c>
      <c r="B38" t="s">
        <v>13</v>
      </c>
      <c r="C38" s="1">
        <v>1519</v>
      </c>
      <c r="D38" s="1">
        <v>757</v>
      </c>
      <c r="E38" s="1">
        <v>487</v>
      </c>
      <c r="F38" s="1">
        <v>778</v>
      </c>
    </row>
    <row r="39" spans="1:6">
      <c r="A39" s="21" t="str">
        <f>B$31&amp;$H19</f>
        <v>2024E</v>
      </c>
      <c r="B39" t="s">
        <v>14</v>
      </c>
      <c r="C39" s="1">
        <v>1917</v>
      </c>
      <c r="D39" s="1">
        <v>1097</v>
      </c>
      <c r="E39" s="1">
        <v>739</v>
      </c>
      <c r="F39" s="1">
        <v>1042</v>
      </c>
    </row>
    <row r="40" spans="1:6">
      <c r="A40" s="21"/>
    </row>
  </sheetData>
  <mergeCells count="7">
    <mergeCell ref="B1:F2"/>
    <mergeCell ref="I1:M2"/>
    <mergeCell ref="B11:F12"/>
    <mergeCell ref="I11:M12"/>
    <mergeCell ref="B21:F22"/>
    <mergeCell ref="I21:M22"/>
    <mergeCell ref="B31:F32"/>
  </mergeCells>
  <pageMargins left="0.7" right="0.7" top="0.75" bottom="0.75" header="0.3" footer="0.3"/>
  <pageSetup orientation="portrait" horizontalDpi="1200" verticalDpi="1200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Calculator</vt:lpstr>
      <vt:lpstr>YOY Premium increases</vt:lpstr>
      <vt:lpstr>'YOY Premium increases'!Year1</vt:lpstr>
      <vt:lpstr>Year1BCBS</vt:lpstr>
      <vt:lpstr>Year1UHC</vt:lpstr>
      <vt:lpstr>'YOY Premium increases'!Year2</vt:lpstr>
      <vt:lpstr>Year2BCBS</vt:lpstr>
      <vt:lpstr>Year2UHC</vt:lpstr>
    </vt:vector>
  </TitlesOfParts>
  <Company>Kellogg School of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Hively</dc:creator>
  <cp:lastModifiedBy>Paul Hively</cp:lastModifiedBy>
  <dcterms:created xsi:type="dcterms:W3CDTF">2018-10-23T14:50:57Z</dcterms:created>
  <dcterms:modified xsi:type="dcterms:W3CDTF">2026-10-29T15:43:57Z</dcterms:modified>
</cp:coreProperties>
</file>