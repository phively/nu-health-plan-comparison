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C:\Users\pbh634\Documents\Archive\Benefits\"/>
    </mc:Choice>
  </mc:AlternateContent>
  <xr:revisionPtr revIDLastSave="0" documentId="13_ncr:1_{DCA08789-C20F-486D-A099-24D1A3410AC0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Calculator" sheetId="1" r:id="rId1"/>
    <sheet name="YOY increases" sheetId="2" r:id="rId2"/>
  </sheets>
  <definedNames>
    <definedName name="Year1">'YOY increases'!$H$1</definedName>
    <definedName name="Year2">'YOY increases'!$H$2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" i="2" l="1"/>
  <c r="F6" i="2"/>
  <c r="F7" i="2"/>
  <c r="F8" i="2"/>
  <c r="F9" i="2"/>
  <c r="E5" i="2"/>
  <c r="E6" i="2"/>
  <c r="E7" i="2"/>
  <c r="E8" i="2"/>
  <c r="E9" i="2"/>
  <c r="D5" i="2"/>
  <c r="D6" i="2"/>
  <c r="D7" i="2"/>
  <c r="D8" i="2"/>
  <c r="D9" i="2"/>
  <c r="C5" i="2"/>
  <c r="C6" i="2"/>
  <c r="C7" i="2"/>
  <c r="C8" i="2"/>
  <c r="C9" i="2"/>
  <c r="A67" i="2"/>
  <c r="A68" i="2"/>
  <c r="A69" i="2"/>
  <c r="A70" i="2"/>
  <c r="A66" i="2"/>
  <c r="A57" i="2"/>
  <c r="A58" i="2"/>
  <c r="A59" i="2"/>
  <c r="A60" i="2"/>
  <c r="A56" i="2"/>
  <c r="A47" i="2"/>
  <c r="A48" i="2"/>
  <c r="A49" i="2"/>
  <c r="A50" i="2"/>
  <c r="A46" i="2"/>
  <c r="A37" i="2"/>
  <c r="A38" i="2"/>
  <c r="A39" i="2"/>
  <c r="A40" i="2"/>
  <c r="A36" i="2"/>
  <c r="A27" i="2"/>
  <c r="A28" i="2"/>
  <c r="A29" i="2"/>
  <c r="A30" i="2"/>
  <c r="A26" i="2"/>
  <c r="A20" i="2"/>
  <c r="A19" i="2"/>
  <c r="A18" i="2"/>
  <c r="A17" i="2"/>
  <c r="A16" i="2"/>
  <c r="D5" i="1" l="1"/>
  <c r="D6" i="1" l="1"/>
  <c r="C8" i="1" l="1"/>
  <c r="D8" i="1"/>
  <c r="E8" i="1"/>
  <c r="B8" i="1"/>
  <c r="C7" i="1"/>
  <c r="D7" i="1"/>
  <c r="E7" i="1"/>
  <c r="B7" i="1"/>
  <c r="P16" i="1"/>
  <c r="P11" i="1"/>
  <c r="E9" i="1" l="1"/>
  <c r="D9" i="1"/>
  <c r="C9" i="1"/>
  <c r="B9" i="1"/>
  <c r="C2" i="1" l="1"/>
  <c r="C3" i="1" s="1"/>
  <c r="D2" i="1"/>
  <c r="E2" i="1"/>
  <c r="E3" i="1" s="1"/>
  <c r="B2" i="1"/>
  <c r="B3" i="1" s="1"/>
  <c r="B4" i="1" l="1"/>
  <c r="B10" i="1" s="1"/>
  <c r="E4" i="1"/>
  <c r="E11" i="1" s="1"/>
  <c r="C4" i="1"/>
  <c r="C12" i="1" s="1"/>
  <c r="D3" i="1"/>
  <c r="B11" i="1" l="1"/>
  <c r="B12" i="1"/>
  <c r="E12" i="1"/>
  <c r="C11" i="1"/>
  <c r="D4" i="1"/>
  <c r="D10" i="1" s="1"/>
  <c r="C10" i="1"/>
  <c r="E10" i="1"/>
  <c r="B14" i="1" l="1"/>
  <c r="C14" i="1"/>
  <c r="E14" i="1"/>
  <c r="D11" i="1"/>
  <c r="D12" i="1"/>
  <c r="D14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 Hively</author>
  </authors>
  <commentList>
    <comment ref="A4" authorId="0" shapeId="0" xr:uid="{00000000-0006-0000-0000-000001000000}">
      <text>
        <r>
          <rPr>
            <b/>
            <sz val="9"/>
            <color indexed="81"/>
            <rFont val="Tahoma"/>
            <charset val="1"/>
          </rPr>
          <t>Paul Hively:</t>
        </r>
        <r>
          <rPr>
            <sz val="9"/>
            <color indexed="81"/>
            <rFont val="Tahoma"/>
            <charset val="1"/>
          </rPr>
          <t xml:space="preserve">
At Northwestern, health insurance premiums are paid as payroll deductions and are thus exempt from federal and state income tax.</t>
        </r>
      </text>
    </comment>
    <comment ref="A5" authorId="0" shapeId="0" xr:uid="{00000000-0006-0000-0000-000002000000}">
      <text>
        <r>
          <rPr>
            <b/>
            <sz val="9"/>
            <color indexed="81"/>
            <rFont val="Tahoma"/>
            <charset val="1"/>
          </rPr>
          <t>Paul Hively:</t>
        </r>
        <r>
          <rPr>
            <sz val="9"/>
            <color indexed="81"/>
            <rFont val="Tahoma"/>
            <charset val="1"/>
          </rPr>
          <t xml:space="preserve">
NU matches up to $750 of HSA contributions; this is free money and reduces the yearly cost of care.</t>
        </r>
      </text>
    </comment>
    <comment ref="A6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Paul Hively:</t>
        </r>
        <r>
          <rPr>
            <sz val="9"/>
            <color indexed="81"/>
            <rFont val="Tahoma"/>
            <family val="2"/>
          </rPr>
          <t xml:space="preserve">
HSA contributions are exempt from federal and state income tax, and possibly SSDI (depending on if it's a payroll deduction and total income).</t>
        </r>
      </text>
    </comment>
    <comment ref="A10" authorId="0" shapeId="0" xr:uid="{00000000-0006-0000-0000-000004000000}">
      <text>
        <r>
          <rPr>
            <b/>
            <sz val="9"/>
            <color indexed="81"/>
            <rFont val="Tahoma"/>
            <charset val="1"/>
          </rPr>
          <t>Paul Hively:</t>
        </r>
        <r>
          <rPr>
            <sz val="9"/>
            <color indexed="81"/>
            <rFont val="Tahoma"/>
            <charset val="1"/>
          </rPr>
          <t xml:space="preserve">
Total health care costs in a year where no care is required.</t>
        </r>
      </text>
    </comment>
    <comment ref="A11" authorId="0" shapeId="0" xr:uid="{00000000-0006-0000-0000-000005000000}">
      <text>
        <r>
          <rPr>
            <b/>
            <sz val="9"/>
            <color indexed="81"/>
            <rFont val="Tahoma"/>
            <charset val="1"/>
          </rPr>
          <t>Paul Hively:</t>
        </r>
        <r>
          <rPr>
            <sz val="9"/>
            <color indexed="81"/>
            <rFont val="Tahoma"/>
            <charset val="1"/>
          </rPr>
          <t xml:space="preserve">
Total health care costs in a year where the deductible is met, but the plan does not pay for any care.</t>
        </r>
      </text>
    </comment>
    <comment ref="A12" authorId="0" shapeId="0" xr:uid="{00000000-0006-0000-0000-000006000000}">
      <text>
        <r>
          <rPr>
            <b/>
            <sz val="9"/>
            <color indexed="81"/>
            <rFont val="Tahoma"/>
            <charset val="1"/>
          </rPr>
          <t>Paul Hively:</t>
        </r>
        <r>
          <rPr>
            <sz val="9"/>
            <color indexed="81"/>
            <rFont val="Tahoma"/>
            <charset val="1"/>
          </rPr>
          <t xml:space="preserve">
Total health care costs in a year where the out-of-pocket max is reached.</t>
        </r>
      </text>
    </comment>
  </commentList>
</comments>
</file>

<file path=xl/sharedStrings.xml><?xml version="1.0" encoding="utf-8"?>
<sst xmlns="http://schemas.openxmlformats.org/spreadsheetml/2006/main" count="141" uniqueCount="50">
  <si>
    <t>Premier</t>
  </si>
  <si>
    <t>Select</t>
  </si>
  <si>
    <t>Value</t>
  </si>
  <si>
    <t>HMO</t>
  </si>
  <si>
    <t>Premium</t>
  </si>
  <si>
    <t>Comparison</t>
  </si>
  <si>
    <t>HSA Match</t>
  </si>
  <si>
    <t>Yearly premium</t>
  </si>
  <si>
    <t>OOP max</t>
  </si>
  <si>
    <t>Deductible</t>
  </si>
  <si>
    <t>No care year costs</t>
  </si>
  <si>
    <t>OOP care year costs</t>
  </si>
  <si>
    <t>Deductible year costs</t>
  </si>
  <si>
    <t>Arithmetic mean</t>
  </si>
  <si>
    <t>Premium schedule
EDIT THIS</t>
  </si>
  <si>
    <t>PPPO</t>
  </si>
  <si>
    <t>SPPO</t>
  </si>
  <si>
    <t>VPPO</t>
  </si>
  <si>
    <t>Salary tier</t>
  </si>
  <si>
    <t>Up to $75K</t>
  </si>
  <si>
    <t>Up to $42K</t>
  </si>
  <si>
    <t>Up to $182K</t>
  </si>
  <si>
    <t>Over $182K</t>
  </si>
  <si>
    <t>Provider choice
EDIT THIS</t>
  </si>
  <si>
    <t>Provider</t>
  </si>
  <si>
    <t>Cap</t>
  </si>
  <si>
    <t>Tier 1</t>
  </si>
  <si>
    <t>In-Network</t>
  </si>
  <si>
    <t>Out-of-Network</t>
  </si>
  <si>
    <t>Your Federal tax bracket
EDIT THIS</t>
  </si>
  <si>
    <t>This comparison is valid for the "you only" coverage level. Results may vary for the family plans, as each member has an individual deductible.</t>
  </si>
  <si>
    <t>Federal Tax Brackets</t>
  </si>
  <si>
    <t>Premium tax savings</t>
  </si>
  <si>
    <t>HSA tax savings</t>
  </si>
  <si>
    <t>A FSA tax benefit could be obtained for the non-Value PPO plans by contributing to an FSA for the year; however, a FSA is use it or lose it (pre-spending plan) as opposed to a true savings plan.</t>
  </si>
  <si>
    <t>HSA Contribution</t>
  </si>
  <si>
    <t>EDIT THIS</t>
  </si>
  <si>
    <t>$1000 maximizes the NU HSA match</t>
  </si>
  <si>
    <t>Up to $128K</t>
  </si>
  <si>
    <t>Tax savings assumes a reduction in 2024 income taxes due of (2023 Federal tax bracket + 4.95%), where 4.95% is the IL tax rate for 2023.</t>
  </si>
  <si>
    <t>2024 maximum</t>
  </si>
  <si>
    <t>Percent Increase</t>
  </si>
  <si>
    <t>Up to $125K</t>
  </si>
  <si>
    <t>Year 1</t>
  </si>
  <si>
    <t>Year 2</t>
  </si>
  <si>
    <t>A</t>
  </si>
  <si>
    <t>B</t>
  </si>
  <si>
    <t>C</t>
  </si>
  <si>
    <t>D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</si>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</sst>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&quot;$&quot;#,##0"/>
  </numFmts>
  <fonts count="14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scheme val="minor"/>
    </font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1"/>
      <name val="Calibri"/>
      <scheme val="minor"/>
    </font>
    <font>
      <sz val="30"/>
      <color theme="1"/>
      <name val="Calibri"/>
      <family val="2"/>
      <scheme val="minor"/>
    </font>
    <font>
      <sz val="11"/>
      <color theme="0" tint="-0.1499984740745262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1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23">
    <xf numFmtId="0" fontId="0" fillId="0" borderId="0" xfId="0"/>
    <xf numFmtId="164" fontId="0" fillId="0" borderId="0" xfId="0" applyNumberFormat="1"/>
    <xf numFmtId="0" fontId="1" fillId="0" borderId="0" xfId="0" applyFont="1"/>
    <xf numFmtId="6" fontId="2" fillId="0" borderId="0" xfId="0" applyNumberFormat="1" applyFont="1"/>
    <xf numFmtId="0" fontId="2" fillId="0" borderId="0" xfId="0" applyFont="1"/>
    <xf numFmtId="164" fontId="2" fillId="0" borderId="0" xfId="0" applyNumberFormat="1" applyFont="1"/>
    <xf numFmtId="164" fontId="5" fillId="0" borderId="0" xfId="0" applyNumberFormat="1" applyFont="1"/>
    <xf numFmtId="0" fontId="7" fillId="0" borderId="0" xfId="0" applyFont="1"/>
    <xf numFmtId="0" fontId="6" fillId="0" borderId="1" xfId="0" applyFont="1" applyBorder="1"/>
    <xf numFmtId="0" fontId="6" fillId="2" borderId="0" xfId="0" applyFont="1" applyFill="1" applyAlignment="1">
      <alignment wrapText="1"/>
    </xf>
    <xf numFmtId="0" fontId="0" fillId="3" borderId="0" xfId="0" applyFill="1"/>
    <xf numFmtId="6" fontId="7" fillId="0" borderId="0" xfId="0" applyNumberFormat="1" applyFont="1"/>
    <xf numFmtId="9" fontId="0" fillId="0" borderId="0" xfId="0" applyNumberFormat="1"/>
    <xf numFmtId="0" fontId="0" fillId="0" borderId="0" xfId="0" applyAlignment="1">
      <alignment wrapText="1"/>
    </xf>
    <xf numFmtId="9" fontId="0" fillId="3" borderId="0" xfId="1" applyFont="1" applyFill="1" applyAlignment="1">
      <alignment horizontal="left"/>
    </xf>
    <xf numFmtId="0" fontId="11" fillId="0" borderId="0" xfId="0" applyFont="1"/>
    <xf numFmtId="164" fontId="0" fillId="3" borderId="0" xfId="0" applyNumberFormat="1" applyFill="1"/>
    <xf numFmtId="6" fontId="1" fillId="0" borderId="0" xfId="0" applyNumberFormat="1" applyFont="1" applyAlignment="1">
      <alignment horizontal="left"/>
    </xf>
    <xf numFmtId="0" fontId="12" fillId="0" borderId="0" xfId="0" applyFont="1" applyAlignment="1">
      <alignment horizontal="center" vertical="center"/>
    </xf>
    <xf numFmtId="10" fontId="0" fillId="0" borderId="0" xfId="1" applyNumberFormat="1" applyFont="1"/>
    <xf numFmtId="0" fontId="12" fillId="0" borderId="0" xfId="0" applyFont="1" applyAlignment="1">
      <alignment vertical="center"/>
    </xf>
    <xf numFmtId="0" fontId="6" fillId="3" borderId="0" xfId="0" applyFont="1" applyFill="1"/>
    <xf numFmtId="0" fontId="13" fillId="0" borderId="0" xfId="0" applyFont="1"/>
  </cellXfs>
  <cellStyles count="2">
    <cellStyle name="Normal" xfId="0" builtinId="0"/>
    <cellStyle name="Percent" xfId="1" builtinId="5"/>
  </cellStyles>
  <dxfs count="54"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3" formatCode="0%"/>
    </dxf>
    <dxf>
      <alignment horizontal="general" vertical="bottom" textRotation="0" wrapText="1" indent="0" justifyLastLine="0" shrinkToFit="0" readingOrder="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0" formatCode="General"/>
    </dxf>
    <dxf>
      <border outline="0">
        <top style="thin">
          <color theme="1"/>
        </top>
      </border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Cost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Calculator!$B$9</c:f>
              <c:strCache>
                <c:ptCount val="1"/>
                <c:pt idx="0">
                  <c:v>Premier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Calculator!$A$10:$A$12</c:f>
              <c:strCache>
                <c:ptCount val="3"/>
                <c:pt idx="0">
                  <c:v>No care year costs</c:v>
                </c:pt>
                <c:pt idx="1">
                  <c:v>Deductible year costs</c:v>
                </c:pt>
                <c:pt idx="2">
                  <c:v>OOP care year costs</c:v>
                </c:pt>
              </c:strCache>
            </c:strRef>
          </c:cat>
          <c:val>
            <c:numRef>
              <c:f>Calculator!$B$10:$B$12</c:f>
              <c:numCache>
                <c:formatCode>"$"#,##0_);[Red]\("$"#,##0\)</c:formatCode>
                <c:ptCount val="3"/>
                <c:pt idx="0">
                  <c:v>2743.7579999999998</c:v>
                </c:pt>
                <c:pt idx="1">
                  <c:v>3243.7579999999998</c:v>
                </c:pt>
                <c:pt idx="2">
                  <c:v>5143.7579999999998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03-47A8-862C-C2377B486F0B}"/>
            </c:ext>
          </c:extLst>
        </c:ser>
        <c:ser>
          <c:idx val="1"/>
          <c:order val="1"/>
          <c:tx>
            <c:strRef>
              <c:f>Calculator!$C$9</c:f>
              <c:strCache>
                <c:ptCount val="1"/>
                <c:pt idx="0">
                  <c:v>Select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Calculator!$A$10:$A$12</c:f>
              <c:strCache>
                <c:ptCount val="3"/>
                <c:pt idx="0">
                  <c:v>No care year costs</c:v>
                </c:pt>
                <c:pt idx="1">
                  <c:v>Deductible year costs</c:v>
                </c:pt>
                <c:pt idx="2">
                  <c:v>OOP care year costs</c:v>
                </c:pt>
              </c:strCache>
            </c:strRef>
          </c:cat>
          <c:val>
            <c:numRef>
              <c:f>Calculator!$C$10:$C$12</c:f>
              <c:numCache>
                <c:formatCode>"$"#,##0_);[Red]\("$"#,##0\)</c:formatCode>
                <c:ptCount val="3"/>
                <c:pt idx="0">
                  <c:v>859.06799999999998</c:v>
                </c:pt>
                <c:pt idx="1">
                  <c:v>1709.068</c:v>
                </c:pt>
                <c:pt idx="2">
                  <c:v>3859.0680000000002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A03-47A8-862C-C2377B486F0B}"/>
            </c:ext>
          </c:extLst>
        </c:ser>
        <c:ser>
          <c:idx val="2"/>
          <c:order val="2"/>
          <c:tx>
            <c:strRef>
              <c:f>Calculator!$D$9</c:f>
              <c:strCache>
                <c:ptCount val="1"/>
                <c:pt idx="0">
                  <c:v>Value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Calculator!$A$10:$A$12</c:f>
              <c:strCache>
                <c:ptCount val="3"/>
                <c:pt idx="0">
                  <c:v>No care year costs</c:v>
                </c:pt>
                <c:pt idx="1">
                  <c:v>Deductible year costs</c:v>
                </c:pt>
                <c:pt idx="2">
                  <c:v>OOP care year costs</c:v>
                </c:pt>
              </c:strCache>
            </c:strRef>
          </c:cat>
          <c:val>
            <c:numRef>
              <c:f>Calculator!$D$10:$D$12</c:f>
              <c:numCache>
                <c:formatCode>"$"#,##0_);[Red]\("$"#,##0\)</c:formatCode>
                <c:ptCount val="3"/>
                <c:pt idx="0">
                  <c:v>-910.09400000000005</c:v>
                </c:pt>
                <c:pt idx="1">
                  <c:v>1189.9059999999999</c:v>
                </c:pt>
                <c:pt idx="2">
                  <c:v>2089.9059999999999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A03-47A8-862C-C2377B486F0B}"/>
            </c:ext>
          </c:extLst>
        </c:ser>
        <c:ser>
          <c:idx val="3"/>
          <c:order val="3"/>
          <c:tx>
            <c:strRef>
              <c:f>Calculator!$E$9</c:f>
              <c:strCache>
                <c:ptCount val="1"/>
                <c:pt idx="0">
                  <c:v>HMO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Calculator!$A$10:$A$12</c:f>
              <c:strCache>
                <c:ptCount val="3"/>
                <c:pt idx="0">
                  <c:v>No care year costs</c:v>
                </c:pt>
                <c:pt idx="1">
                  <c:v>Deductible year costs</c:v>
                </c:pt>
                <c:pt idx="2">
                  <c:v>OOP care year costs</c:v>
                </c:pt>
              </c:strCache>
            </c:strRef>
          </c:cat>
          <c:val>
            <c:numRef>
              <c:f>Calculator!$E$10:$E$12</c:f>
              <c:numCache>
                <c:formatCode>"$"#,##0_);[Red]\("$"#,##0\)</c:formatCode>
                <c:ptCount val="3"/>
                <c:pt idx="0">
                  <c:v>1253.538</c:v>
                </c:pt>
                <c:pt idx="1">
                  <c:v>1253.538</c:v>
                </c:pt>
                <c:pt idx="2">
                  <c:v>2753.538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A03-47A8-862C-C2377B486F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8522848"/>
        <c:axId val="448520552"/>
      </c:lineChart>
      <c:catAx>
        <c:axId val="448522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8520552"/>
        <c:crosses val="autoZero"/>
        <c:auto val="1"/>
        <c:lblAlgn val="ctr"/>
        <c:lblOffset val="100"/>
        <c:noMultiLvlLbl val="0"/>
      </c:catAx>
      <c:valAx>
        <c:axId val="448520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8522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19</xdr:row>
      <xdr:rowOff>0</xdr:rowOff>
    </xdr:from>
    <xdr:to>
      <xdr:col>6</xdr:col>
      <xdr:colOff>114300</xdr:colOff>
      <xdr:row>33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E14">
  <autoFilter ref="A1:E14" xr:uid="{00000000-0009-0000-0100-000001000000}"/>
  <tableColumns count="5">
    <tableColumn id="1" xr3:uid="{00000000-0010-0000-0000-000001000000}" name="Comparison" totalsRowLabel="Total"/>
    <tableColumn id="2" xr3:uid="{00000000-0010-0000-0000-000002000000}" name="Premier" dataDxfId="53" totalsRowDxfId="52"/>
    <tableColumn id="3" xr3:uid="{00000000-0010-0000-0000-000003000000}" name="Select" dataDxfId="51" totalsRowDxfId="50"/>
    <tableColumn id="4" xr3:uid="{00000000-0010-0000-0000-000004000000}" name="Value" dataDxfId="49" totalsRowDxfId="48"/>
    <tableColumn id="5" xr3:uid="{00000000-0010-0000-0000-000005000000}" name="HMO" dataDxfId="47" totalsRowDxfId="46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L1:P6" totalsRowShown="0">
  <autoFilter ref="L1:P6" xr:uid="{00000000-0009-0000-0100-000002000000}"/>
  <tableColumns count="5">
    <tableColumn id="1" xr3:uid="{00000000-0010-0000-0100-000001000000}" name="Salary tier"/>
    <tableColumn id="2" xr3:uid="{00000000-0010-0000-0100-000002000000}" name="PPPO" dataDxfId="45"/>
    <tableColumn id="3" xr3:uid="{00000000-0010-0000-0100-000003000000}" name="SPPO" dataDxfId="44"/>
    <tableColumn id="4" xr3:uid="{00000000-0010-0000-0100-000004000000}" name="VPPO" dataDxfId="43"/>
    <tableColumn id="5" xr3:uid="{00000000-0010-0000-0100-000005000000}" name="HMO" dataDxfId="42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24" displayName="Table24" ref="K8:P11" totalsRowShown="0">
  <autoFilter ref="K8:P11" xr:uid="{00000000-0009-0000-0100-000003000000}"/>
  <sortState xmlns:xlrd2="http://schemas.microsoft.com/office/spreadsheetml/2017/richdata2" ref="L9:Q14">
    <sortCondition ref="L1:L7"/>
  </sortState>
  <tableColumns count="6">
    <tableColumn id="6" xr3:uid="{00000000-0010-0000-0200-000006000000}" name="Cap"/>
    <tableColumn id="1" xr3:uid="{00000000-0010-0000-0200-000001000000}" name="Provider"/>
    <tableColumn id="2" xr3:uid="{00000000-0010-0000-0200-000002000000}" name="PPPO" dataDxfId="41"/>
    <tableColumn id="3" xr3:uid="{00000000-0010-0000-0200-000003000000}" name="SPPO" dataDxfId="40"/>
    <tableColumn id="4" xr3:uid="{00000000-0010-0000-0200-000004000000}" name="VPPO" dataDxfId="39"/>
    <tableColumn id="5" xr3:uid="{00000000-0010-0000-0200-000005000000}" name="HMO" dataDxfId="38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4" displayName="Table4" ref="K13:P16" totalsRowShown="0" headerRowDxfId="37" headerRowBorderDxfId="36" tableBorderDxfId="35">
  <autoFilter ref="K13:P16" xr:uid="{00000000-0009-0000-0100-000004000000}"/>
  <tableColumns count="6">
    <tableColumn id="2" xr3:uid="{00000000-0010-0000-0300-000002000000}" name="Cap"/>
    <tableColumn id="1" xr3:uid="{00000000-0010-0000-0300-000001000000}" name="Provider" dataDxfId="34"/>
    <tableColumn id="3" xr3:uid="{00000000-0010-0000-0300-000003000000}" name="PPPO" dataDxfId="33"/>
    <tableColumn id="4" xr3:uid="{00000000-0010-0000-0300-000004000000}" name="SPPO" dataDxfId="32"/>
    <tableColumn id="5" xr3:uid="{00000000-0010-0000-0300-000005000000}" name="VPPO" dataDxfId="31"/>
    <tableColumn id="6" xr3:uid="{00000000-0010-0000-0300-000006000000}" name="HMO" dataDxfId="30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5" displayName="Table5" ref="I4:I11" totalsRowShown="0" headerRowDxfId="29">
  <autoFilter ref="I4:I11" xr:uid="{00000000-0009-0000-0100-000005000000}"/>
  <tableColumns count="1">
    <tableColumn id="1" xr3:uid="{00000000-0010-0000-0400-000001000000}" name="Federal Tax Brackets" dataDxfId="28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DF9B580-628B-48A7-8AE2-7F7E0898016E}" name="Table27" displayName="Table27" ref="B25:F30" totalsRowShown="0">
  <autoFilter ref="B25:F30" xr:uid="{0DF9B580-628B-48A7-8AE2-7F7E0898016E}"/>
  <tableColumns count="5">
    <tableColumn id="1" xr3:uid="{5A2DE1FA-517D-4167-934D-89338989234F}" name="Salary tier"/>
    <tableColumn id="2" xr3:uid="{E9596C12-B6E5-46CB-847C-F23474ECAB2E}" name="PPPO" dataDxfId="27"/>
    <tableColumn id="3" xr3:uid="{12FCCC4F-5503-4D88-8FFC-57C721A21D70}" name="SPPO" dataDxfId="26"/>
    <tableColumn id="4" xr3:uid="{80F87879-F620-4A66-88D0-9E5F0F2FAB57}" name="VPPO" dataDxfId="25"/>
    <tableColumn id="5" xr3:uid="{EDDA6063-7450-45B1-B75F-4D72EE73CB35}" name="HMO" dataDxfId="24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83122A4-6244-47D3-AB3A-F19527B305E2}" name="Table210" displayName="Table210" ref="B15:F20" totalsRowShown="0">
  <autoFilter ref="B15:F20" xr:uid="{883122A4-6244-47D3-AB3A-F19527B305E2}"/>
  <tableColumns count="5">
    <tableColumn id="1" xr3:uid="{8D5FD278-F11A-4786-AF75-C28B265B6A42}" name="Salary tier"/>
    <tableColumn id="2" xr3:uid="{CF6CB111-F0FE-4453-9E2E-6F30D861B09C}" name="PPPO" dataDxfId="23"/>
    <tableColumn id="3" xr3:uid="{C9ED372A-8D56-438A-8A00-EE874DAAE024}" name="SPPO" dataDxfId="22"/>
    <tableColumn id="4" xr3:uid="{69657DEE-B223-4462-B0F3-0FD369B90BDA}" name="VPPO" dataDxfId="21"/>
    <tableColumn id="5" xr3:uid="{9A9E1A7F-081A-497E-9DA4-7EF5F5536272}" name="HMO" dataDxfId="20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D5EAF9D6-A011-4B56-A0D7-CFBDA22B0CA8}" name="Table213" displayName="Table213" ref="B4:F9" totalsRowShown="0">
  <autoFilter ref="B4:F9" xr:uid="{D5EAF9D6-A011-4B56-A0D7-CFBDA22B0CA8}"/>
  <tableColumns count="5">
    <tableColumn id="1" xr3:uid="{C5BAD141-A771-4C91-8283-9DCA0BC1CD6C}" name="Salary tier"/>
    <tableColumn id="2" xr3:uid="{E2F452EA-9B4E-455B-8E7C-85A3B371B14E}" name="PPPO" dataDxfId="3" dataCellStyle="Percent">
      <calculatedColumnFormula>VLOOKUP(Year1&amp;$A5,$A$10:$F$1000,COLUMN(C$4),0)/VLOOKUP(Year2&amp;$A5,$A$10:$F$1000,COLUMN(C$4),0)-1</calculatedColumnFormula>
    </tableColumn>
    <tableColumn id="3" xr3:uid="{1A68EE9A-B3CD-4D81-A854-D4CC0EA97A1F}" name="SPPO" dataDxfId="2">
      <calculatedColumnFormula>VLOOKUP(Year1&amp;$A5,$A$10:$F$1000,COLUMN(D$4),0)/VLOOKUP(Year2&amp;$A5,$A$10:$F$1000,COLUMN(D$4),0)-1</calculatedColumnFormula>
    </tableColumn>
    <tableColumn id="4" xr3:uid="{CDE95AE4-CFB7-4A93-8B1F-15D8E001FC05}" name="VPPO" dataDxfId="1">
      <calculatedColumnFormula>VLOOKUP(Year1&amp;$A5,$A$10:$F$1000,COLUMN(E$4),0)/VLOOKUP(Year2&amp;$A5,$A$10:$F$1000,COLUMN(E$4),0)-1</calculatedColumnFormula>
    </tableColumn>
    <tableColumn id="5" xr3:uid="{601FA0AE-D606-4A72-B5FA-34F052E1BDB5}" name="HMO" dataDxfId="0">
      <calculatedColumnFormula>VLOOKUP(Year1&amp;$A5,$A$10:$F$1000,COLUMN(F$4),0)/VLOOKUP(Year2&amp;$A5,$A$10:$F$1000,COLUMN(F$4),0)-1</calculatedColumnFormula>
    </tableColumn>
  </tableColumns>
  <tableStyleInfo name="TableStyleLight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13BF44A9-E241-44E6-99CC-85C7A0B3DD83}" name="Table217" displayName="Table217" ref="B45:F50" totalsRowShown="0">
  <autoFilter ref="B45:F50" xr:uid="{13BF44A9-E241-44E6-99CC-85C7A0B3DD83}"/>
  <tableColumns count="5">
    <tableColumn id="1" xr3:uid="{BF40F38F-E121-4DB7-B73F-089B69B34354}" name="Salary tier"/>
    <tableColumn id="2" xr3:uid="{B5EED1B4-5176-41FB-AF8C-E0B5535F9DA7}" name="PPPO" dataDxfId="19"/>
    <tableColumn id="3" xr3:uid="{003616CD-F7D4-4714-A5FC-FD649AB63758}" name="SPPO" dataDxfId="18"/>
    <tableColumn id="4" xr3:uid="{1886EBA3-963B-440B-8C53-106B4F005CF9}" name="VPPO" dataDxfId="17"/>
    <tableColumn id="5" xr3:uid="{AA82DC92-04F2-4628-AB6E-A326B4F54D40}" name="HMO" dataDxfId="16"/>
  </tableColumns>
  <tableStyleInfo name="TableStyleLight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7ED47D39-3E05-484F-ACD6-DE3122FA858C}" name="Table218" displayName="Table218" ref="B35:F40" totalsRowShown="0">
  <autoFilter ref="B35:F40" xr:uid="{7ED47D39-3E05-484F-ACD6-DE3122FA858C}"/>
  <tableColumns count="5">
    <tableColumn id="1" xr3:uid="{CC8D7EE5-FC07-4A78-8C74-AB114F5DC103}" name="Salary tier"/>
    <tableColumn id="2" xr3:uid="{8D495E23-05A1-42D6-A30C-50F38F65495F}" name="PPPO" dataDxfId="15"/>
    <tableColumn id="3" xr3:uid="{8C99191F-99A5-42CB-845E-07207FEB5423}" name="SPPO" dataDxfId="14"/>
    <tableColumn id="4" xr3:uid="{7C6A2569-5707-4A10-AB7A-A2BFEDC34DC4}" name="VPPO" dataDxfId="13"/>
    <tableColumn id="5" xr3:uid="{87A1F397-88B8-45AB-9A60-D4FB1E9169F9}" name="HMO" dataDxfId="12"/>
  </tableColumns>
  <tableStyleInfo name="TableStyleLight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D0E08A80-DCF9-4150-81F6-042774F44EB2}" name="Table219" displayName="Table219" ref="B55:F60" totalsRowShown="0">
  <autoFilter ref="B55:F60" xr:uid="{D0E08A80-DCF9-4150-81F6-042774F44EB2}"/>
  <tableColumns count="5">
    <tableColumn id="1" xr3:uid="{6FBC44EB-3779-486C-B622-C894BD4EC01D}" name="Salary tier"/>
    <tableColumn id="2" xr3:uid="{32675F21-9B3C-486B-BEAA-1DAA5127E34B}" name="PPPO" dataDxfId="11"/>
    <tableColumn id="3" xr3:uid="{7649762A-2E37-4A48-8704-FB5140E2C666}" name="SPPO" dataDxfId="10"/>
    <tableColumn id="4" xr3:uid="{494FBE12-A051-4FD9-B65B-C36AE6745CE0}" name="VPPO" dataDxfId="9"/>
    <tableColumn id="5" xr3:uid="{14A5E1F3-FCD5-4916-8DFF-4B53582F744B}" name="HMO" dataDxfId="8"/>
  </tableColumns>
  <tableStyleInfo name="TableStyleLight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7FCE7F7E-C181-4430-A243-A452806DDE7C}" name="Table220" displayName="Table220" ref="B65:F70" totalsRowShown="0">
  <autoFilter ref="B65:F70" xr:uid="{7FCE7F7E-C181-4430-A243-A452806DDE7C}"/>
  <tableColumns count="5">
    <tableColumn id="1" xr3:uid="{10E9A5E7-EB37-4577-B6B3-9F802BE0D8E8}" name="Salary tier"/>
    <tableColumn id="2" xr3:uid="{2270EE98-19A7-4EC5-A5DA-D3E97BB1B06C}" name="PPPO" dataDxfId="7"/>
    <tableColumn id="3" xr3:uid="{FD3D919D-0492-40B6-8FD3-EDF5C1672490}" name="SPPO" dataDxfId="6"/>
    <tableColumn id="4" xr3:uid="{BE0151A0-4EE2-4430-BF5B-2ECAE11A931E}" name="VPPO" dataDxfId="5"/>
    <tableColumn id="5" xr3:uid="{05FA8952-4A1E-4D91-B2C0-8EEF64D74426}" name="HMO" dataDxfId="4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3" Type="http://schemas.openxmlformats.org/officeDocument/2006/relationships/vmlDrawing" Target="../drawings/vmlDrawing1.vml"/><Relationship Id="rId7" Type="http://schemas.openxmlformats.org/officeDocument/2006/relationships/table" Target="../tables/table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3.xml"/><Relationship Id="rId5" Type="http://schemas.openxmlformats.org/officeDocument/2006/relationships/table" Target="../tables/table2.xml"/><Relationship Id="rId4" Type="http://schemas.openxmlformats.org/officeDocument/2006/relationships/table" Target="../tables/table1.xml"/><Relationship Id="rId9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2.xml"/><Relationship Id="rId3" Type="http://schemas.openxmlformats.org/officeDocument/2006/relationships/table" Target="../tables/table7.xml"/><Relationship Id="rId7" Type="http://schemas.openxmlformats.org/officeDocument/2006/relationships/table" Target="../tables/table11.xml"/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10.xml"/><Relationship Id="rId5" Type="http://schemas.openxmlformats.org/officeDocument/2006/relationships/table" Target="../tables/table9.xml"/><Relationship Id="rId4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8"/>
  <sheetViews>
    <sheetView tabSelected="1" zoomScaleNormal="100" workbookViewId="0"/>
  </sheetViews>
  <sheetFormatPr defaultRowHeight="15"/>
  <cols>
    <col min="1" max="1" width="22.140625" customWidth="1"/>
    <col min="2" max="2" width="10.28515625" customWidth="1"/>
    <col min="7" max="8" width="20.28515625" customWidth="1"/>
    <col min="9" max="9" width="25" customWidth="1"/>
    <col min="11" max="11" width="10.7109375" bestFit="1" customWidth="1"/>
    <col min="12" max="12" width="15.42578125" bestFit="1" customWidth="1"/>
    <col min="13" max="16" width="9.42578125" customWidth="1"/>
    <col min="18" max="18" width="11.85546875" customWidth="1"/>
  </cols>
  <sheetData>
    <row r="1" spans="1:16" ht="30">
      <c r="A1" t="s">
        <v>5</v>
      </c>
      <c r="B1" t="s">
        <v>0</v>
      </c>
      <c r="C1" t="s">
        <v>1</v>
      </c>
      <c r="D1" t="s">
        <v>2</v>
      </c>
      <c r="E1" t="s">
        <v>3</v>
      </c>
      <c r="G1" s="9" t="s">
        <v>14</v>
      </c>
      <c r="H1" s="9" t="s">
        <v>23</v>
      </c>
      <c r="I1" s="9" t="s">
        <v>29</v>
      </c>
      <c r="L1" t="s">
        <v>18</v>
      </c>
      <c r="M1" t="s">
        <v>15</v>
      </c>
      <c r="N1" t="s">
        <v>16</v>
      </c>
      <c r="O1" t="s">
        <v>17</v>
      </c>
      <c r="P1" t="s">
        <v>3</v>
      </c>
    </row>
    <row r="2" spans="1:16">
      <c r="A2" t="s">
        <v>4</v>
      </c>
      <c r="B2" s="3">
        <f>VLOOKUP($G$2,Table2[#All],COLUMN(),0)</f>
        <v>313</v>
      </c>
      <c r="C2" s="3">
        <f>VLOOKUP($G$2,Table2[#All],COLUMN(),0)</f>
        <v>98</v>
      </c>
      <c r="D2" s="3">
        <f>VLOOKUP($G$2,Table2[#All],COLUMN(),0)</f>
        <v>41</v>
      </c>
      <c r="E2" s="3">
        <f>VLOOKUP($G$2,Table2[#All],COLUMN(),0)</f>
        <v>143</v>
      </c>
      <c r="G2" s="10" t="s">
        <v>19</v>
      </c>
      <c r="H2" s="10" t="s">
        <v>27</v>
      </c>
      <c r="I2" s="14">
        <v>0.22</v>
      </c>
      <c r="L2" t="s">
        <v>20</v>
      </c>
      <c r="M2" s="1">
        <v>263</v>
      </c>
      <c r="N2" s="1">
        <v>54</v>
      </c>
      <c r="O2" s="1">
        <v>20</v>
      </c>
      <c r="P2" s="1">
        <v>109</v>
      </c>
    </row>
    <row r="3" spans="1:16">
      <c r="A3" t="s">
        <v>7</v>
      </c>
      <c r="B3" s="3">
        <f>B2*12</f>
        <v>3756</v>
      </c>
      <c r="C3" s="3">
        <f>C2*12</f>
        <v>1176</v>
      </c>
      <c r="D3" s="3">
        <f>D2*12</f>
        <v>492</v>
      </c>
      <c r="E3" s="3">
        <f>E2*12</f>
        <v>1716</v>
      </c>
      <c r="L3" t="s">
        <v>19</v>
      </c>
      <c r="M3" s="1">
        <v>313</v>
      </c>
      <c r="N3" s="1">
        <v>98</v>
      </c>
      <c r="O3" s="1">
        <v>41</v>
      </c>
      <c r="P3" s="1">
        <v>143</v>
      </c>
    </row>
    <row r="4" spans="1:16">
      <c r="A4" t="s">
        <v>32</v>
      </c>
      <c r="B4" s="11">
        <f>-1 * B3 * ($I$2 + 4.95%)</f>
        <v>-1012.2420000000001</v>
      </c>
      <c r="C4" s="11">
        <f t="shared" ref="C4:E4" si="0">-1 * C3 * ($I$2 + 4.95%)</f>
        <v>-316.93200000000002</v>
      </c>
      <c r="D4" s="11">
        <f t="shared" si="0"/>
        <v>-132.59400000000002</v>
      </c>
      <c r="E4" s="11">
        <f t="shared" si="0"/>
        <v>-462.46200000000005</v>
      </c>
      <c r="G4" s="9" t="s">
        <v>35</v>
      </c>
      <c r="I4" s="13" t="s">
        <v>31</v>
      </c>
      <c r="L4" t="s">
        <v>38</v>
      </c>
      <c r="M4" s="1">
        <v>377</v>
      </c>
      <c r="N4" s="1">
        <v>156</v>
      </c>
      <c r="O4" s="1">
        <v>95</v>
      </c>
      <c r="P4" s="1">
        <v>186</v>
      </c>
    </row>
    <row r="5" spans="1:16">
      <c r="A5" t="s">
        <v>6</v>
      </c>
      <c r="B5" s="4"/>
      <c r="C5" s="4"/>
      <c r="D5" s="3">
        <f>-1*MIN(G6, 1000)</f>
        <v>-1000</v>
      </c>
      <c r="E5" s="4"/>
      <c r="G5" s="9" t="s">
        <v>36</v>
      </c>
      <c r="I5" s="12">
        <v>0.1</v>
      </c>
      <c r="L5" t="s">
        <v>21</v>
      </c>
      <c r="M5" s="1">
        <v>462</v>
      </c>
      <c r="N5" s="1">
        <v>229</v>
      </c>
      <c r="O5" s="1">
        <v>149</v>
      </c>
      <c r="P5" s="1">
        <v>236</v>
      </c>
    </row>
    <row r="6" spans="1:16">
      <c r="A6" t="s">
        <v>33</v>
      </c>
      <c r="B6" s="7"/>
      <c r="C6" s="7"/>
      <c r="D6" s="11">
        <f>-1 * G6 * ($I$2 + 4.95%)</f>
        <v>-269.5</v>
      </c>
      <c r="E6" s="7"/>
      <c r="G6" s="16">
        <v>1000</v>
      </c>
      <c r="I6" s="12">
        <v>0.12</v>
      </c>
      <c r="L6" t="s">
        <v>22</v>
      </c>
      <c r="M6" s="1">
        <v>583</v>
      </c>
      <c r="N6" s="1">
        <v>335</v>
      </c>
      <c r="O6" s="1">
        <v>227</v>
      </c>
      <c r="P6" s="1">
        <v>316</v>
      </c>
    </row>
    <row r="7" spans="1:16">
      <c r="A7" t="s">
        <v>9</v>
      </c>
      <c r="B7" s="5">
        <f>VLOOKUP($H$2,Table24[[#All],[Provider]:[HMO]],COLUMN(),0)</f>
        <v>500</v>
      </c>
      <c r="C7" s="5">
        <f>VLOOKUP($H$2,Table24[[#All],[Provider]:[HMO]],COLUMN(),0)</f>
        <v>850</v>
      </c>
      <c r="D7" s="5">
        <f>VLOOKUP($H$2,Table24[[#All],[Provider]:[HMO]],COLUMN(),0)</f>
        <v>2100</v>
      </c>
      <c r="E7" s="5">
        <f>VLOOKUP($H$2,Table24[[#All],[Provider]:[HMO]],COLUMN(),0)</f>
        <v>0</v>
      </c>
      <c r="G7" s="2" t="s">
        <v>40</v>
      </c>
      <c r="H7" s="17">
        <v>3150</v>
      </c>
      <c r="I7" s="12">
        <v>0.22</v>
      </c>
    </row>
    <row r="8" spans="1:16">
      <c r="A8" t="s">
        <v>8</v>
      </c>
      <c r="B8" s="5">
        <f>VLOOKUP($H$2,Table4[[#All],[Provider]:[HMO]],COLUMN(),0)</f>
        <v>2400</v>
      </c>
      <c r="C8" s="5">
        <f>VLOOKUP($H$2,Table4[[#All],[Provider]:[HMO]],COLUMN(),0)</f>
        <v>3000</v>
      </c>
      <c r="D8" s="5">
        <f>VLOOKUP($H$2,Table4[[#All],[Provider]:[HMO]],COLUMN(),0)</f>
        <v>3000</v>
      </c>
      <c r="E8" s="5">
        <f>VLOOKUP($H$2,Table4[[#All],[Provider]:[HMO]],COLUMN(),0)</f>
        <v>1500</v>
      </c>
      <c r="G8" s="2" t="s">
        <v>37</v>
      </c>
      <c r="I8" s="12">
        <v>0.24</v>
      </c>
      <c r="K8" t="s">
        <v>25</v>
      </c>
      <c r="L8" t="s">
        <v>24</v>
      </c>
      <c r="M8" t="s">
        <v>15</v>
      </c>
      <c r="N8" t="s">
        <v>16</v>
      </c>
      <c r="O8" t="s">
        <v>17</v>
      </c>
      <c r="P8" t="s">
        <v>3</v>
      </c>
    </row>
    <row r="9" spans="1:16">
      <c r="B9" s="6" t="str">
        <f>Table1[[#Headers],[Premier]]</f>
        <v>Premier</v>
      </c>
      <c r="C9" s="6" t="str">
        <f>Table1[[#Headers],[Select]]</f>
        <v>Select</v>
      </c>
      <c r="D9" s="6" t="str">
        <f>Table1[[#Headers],[Value]]</f>
        <v>Value</v>
      </c>
      <c r="E9" s="6" t="str">
        <f>Table1[[#Headers],[HMO]]</f>
        <v>HMO</v>
      </c>
      <c r="I9" s="12">
        <v>0.32</v>
      </c>
      <c r="K9" t="s">
        <v>9</v>
      </c>
      <c r="L9" t="s">
        <v>26</v>
      </c>
      <c r="M9" s="1">
        <v>350</v>
      </c>
      <c r="N9" s="1">
        <v>600</v>
      </c>
      <c r="O9" s="1">
        <v>1600</v>
      </c>
      <c r="P9" s="1">
        <v>0</v>
      </c>
    </row>
    <row r="10" spans="1:16">
      <c r="A10" t="s">
        <v>10</v>
      </c>
      <c r="B10" s="3">
        <f>SUM(B3:B6)</f>
        <v>2743.7579999999998</v>
      </c>
      <c r="C10" s="3">
        <f>SUM(C3:C6)</f>
        <v>859.06799999999998</v>
      </c>
      <c r="D10" s="3">
        <f>SUM(D3:D6)</f>
        <v>-910.09400000000005</v>
      </c>
      <c r="E10" s="3">
        <f>SUM(E3:E6)</f>
        <v>1253.538</v>
      </c>
      <c r="I10" s="12">
        <v>0.35</v>
      </c>
      <c r="K10" t="s">
        <v>9</v>
      </c>
      <c r="L10" t="s">
        <v>27</v>
      </c>
      <c r="M10" s="1">
        <v>500</v>
      </c>
      <c r="N10" s="1">
        <v>850</v>
      </c>
      <c r="O10" s="1">
        <v>2100</v>
      </c>
      <c r="P10" s="1">
        <v>0</v>
      </c>
    </row>
    <row r="11" spans="1:16">
      <c r="A11" t="s">
        <v>12</v>
      </c>
      <c r="B11" s="3">
        <f>SUM(B3:B7)</f>
        <v>3243.7579999999998</v>
      </c>
      <c r="C11" s="3">
        <f>SUM(C3:C7)</f>
        <v>1709.068</v>
      </c>
      <c r="D11" s="3">
        <f>SUM(D3:D7)</f>
        <v>1189.9059999999999</v>
      </c>
      <c r="E11" s="3">
        <f>SUM(E3:E7)</f>
        <v>1253.538</v>
      </c>
      <c r="I11" s="12">
        <v>0.37</v>
      </c>
      <c r="K11" t="s">
        <v>9</v>
      </c>
      <c r="L11" t="s">
        <v>28</v>
      </c>
      <c r="M11" s="1">
        <v>1000</v>
      </c>
      <c r="N11" s="1">
        <v>1700</v>
      </c>
      <c r="O11" s="1">
        <v>3100</v>
      </c>
      <c r="P11" s="1" t="e">
        <f>NA()</f>
        <v>#N/A</v>
      </c>
    </row>
    <row r="12" spans="1:16">
      <c r="A12" t="s">
        <v>11</v>
      </c>
      <c r="B12" s="3">
        <f>SUM(B3:B6,B8)</f>
        <v>5143.7579999999998</v>
      </c>
      <c r="C12" s="3">
        <f>SUM(C3:C6,C8)</f>
        <v>3859.0680000000002</v>
      </c>
      <c r="D12" s="3">
        <f>SUM(D3:D6,D8)</f>
        <v>2089.9059999999999</v>
      </c>
      <c r="E12" s="3">
        <f>SUM(E3:E6,E8)</f>
        <v>2753.538</v>
      </c>
    </row>
    <row r="13" spans="1:16">
      <c r="B13" s="5"/>
      <c r="C13" s="5"/>
      <c r="D13" s="5"/>
      <c r="E13" s="5"/>
      <c r="K13" s="8" t="s">
        <v>25</v>
      </c>
      <c r="L13" s="8" t="s">
        <v>24</v>
      </c>
      <c r="M13" s="8" t="s">
        <v>15</v>
      </c>
      <c r="N13" s="8" t="s">
        <v>16</v>
      </c>
      <c r="O13" s="8" t="s">
        <v>17</v>
      </c>
      <c r="P13" s="8" t="s">
        <v>3</v>
      </c>
    </row>
    <row r="14" spans="1:16">
      <c r="A14" t="s">
        <v>13</v>
      </c>
      <c r="B14" s="3">
        <f>AVERAGE(B10:B12)</f>
        <v>3710.4246666666663</v>
      </c>
      <c r="C14" s="3">
        <f>AVERAGE(C10:C12)</f>
        <v>2142.4013333333332</v>
      </c>
      <c r="D14" s="3">
        <f>AVERAGE(D10:D12)</f>
        <v>789.90599999999995</v>
      </c>
      <c r="E14" s="3">
        <f>AVERAGE(E10:E12)</f>
        <v>1753.5379999999998</v>
      </c>
      <c r="J14" s="2"/>
      <c r="K14" t="s">
        <v>8</v>
      </c>
      <c r="L14" t="s">
        <v>26</v>
      </c>
      <c r="M14" s="1">
        <v>1200</v>
      </c>
      <c r="N14" s="1">
        <v>1800</v>
      </c>
      <c r="O14" s="1">
        <v>2400</v>
      </c>
      <c r="P14" s="1">
        <v>0</v>
      </c>
    </row>
    <row r="15" spans="1:16" ht="15" customHeight="1">
      <c r="A15" s="2" t="s">
        <v>30</v>
      </c>
      <c r="B15" s="7"/>
      <c r="C15" s="7"/>
      <c r="D15" s="7"/>
      <c r="E15" s="7"/>
      <c r="F15" s="2"/>
      <c r="G15" s="2"/>
      <c r="H15" s="2"/>
      <c r="I15" s="2"/>
      <c r="J15" s="2"/>
      <c r="K15" t="s">
        <v>8</v>
      </c>
      <c r="L15" t="s">
        <v>27</v>
      </c>
      <c r="M15" s="1">
        <v>2400</v>
      </c>
      <c r="N15" s="1">
        <v>3000</v>
      </c>
      <c r="O15" s="1">
        <v>3000</v>
      </c>
      <c r="P15" s="1">
        <v>1500</v>
      </c>
    </row>
    <row r="16" spans="1:16">
      <c r="A16" s="2" t="s">
        <v>39</v>
      </c>
      <c r="B16" s="15"/>
      <c r="C16" s="15"/>
      <c r="D16" s="15"/>
      <c r="E16" s="15"/>
      <c r="K16" t="s">
        <v>8</v>
      </c>
      <c r="L16" t="s">
        <v>28</v>
      </c>
      <c r="M16" s="1">
        <v>4800</v>
      </c>
      <c r="N16" s="1">
        <v>6000</v>
      </c>
      <c r="O16" s="1">
        <v>7500</v>
      </c>
      <c r="P16" s="1" t="e">
        <f>NA()</f>
        <v>#N/A</v>
      </c>
    </row>
    <row r="17" spans="1:5">
      <c r="A17" s="2"/>
      <c r="B17" s="15"/>
      <c r="C17" s="15"/>
      <c r="D17" s="15"/>
      <c r="E17" s="15"/>
    </row>
    <row r="18" spans="1:5">
      <c r="A18" s="2" t="s">
        <v>34</v>
      </c>
      <c r="B18" s="7"/>
      <c r="C18" s="7"/>
      <c r="D18" s="7"/>
      <c r="E18" s="7"/>
    </row>
  </sheetData>
  <conditionalFormatting sqref="B10:E10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1:E11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2:E12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4:E14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dataValidations count="4">
    <dataValidation type="list" allowBlank="1" showInputMessage="1" showErrorMessage="1" sqref="G2" xr:uid="{00000000-0002-0000-0000-000000000000}">
      <formula1>$L$2:$L$6</formula1>
    </dataValidation>
    <dataValidation type="list" allowBlank="1" showInputMessage="1" showErrorMessage="1" sqref="H2" xr:uid="{00000000-0002-0000-0000-000001000000}">
      <formula1>$L$9:$L$11</formula1>
    </dataValidation>
    <dataValidation type="list" allowBlank="1" showInputMessage="1" showErrorMessage="1" sqref="I2" xr:uid="{00000000-0002-0000-0000-000002000000}">
      <formula1>$I$5:$I$11</formula1>
    </dataValidation>
    <dataValidation type="decimal" allowBlank="1" showInputMessage="1" showErrorMessage="1" sqref="G6" xr:uid="{00000000-0002-0000-0000-000003000000}">
      <formula1>0</formula1>
      <formula2>H7</formula2>
    </dataValidation>
  </dataValidations>
  <pageMargins left="0.7" right="0.7" top="0.75" bottom="0.75" header="0.3" footer="0.3"/>
  <pageSetup orientation="portrait" r:id="rId1"/>
  <drawing r:id="rId2"/>
  <legacyDrawing r:id="rId3"/>
  <tableParts count="5">
    <tablePart r:id="rId4"/>
    <tablePart r:id="rId5"/>
    <tablePart r:id="rId6"/>
    <tablePart r:id="rId7"/>
    <tablePart r:id="rId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2D8BE-A77B-455B-83B5-F0176078506C}">
  <dimension ref="A1:H70"/>
  <sheetViews>
    <sheetView workbookViewId="0"/>
  </sheetViews>
  <sheetFormatPr defaultRowHeight="15"/>
  <cols>
    <col min="2" max="6" width="12.42578125" customWidth="1"/>
    <col min="7" max="8" width="14.140625" customWidth="1"/>
    <col min="9" max="9" width="15.140625" customWidth="1"/>
    <col min="10" max="13" width="14.140625" customWidth="1"/>
  </cols>
  <sheetData>
    <row r="1" spans="1:8">
      <c r="B1" s="18" t="s">
        <v>41</v>
      </c>
      <c r="C1" s="18"/>
      <c r="D1" s="18"/>
      <c r="E1" s="18"/>
      <c r="F1" s="18"/>
      <c r="G1" s="21" t="s">
        <v>43</v>
      </c>
      <c r="H1" s="10">
        <v>2024</v>
      </c>
    </row>
    <row r="2" spans="1:8">
      <c r="B2" s="18"/>
      <c r="C2" s="18"/>
      <c r="D2" s="18"/>
      <c r="E2" s="18"/>
      <c r="F2" s="18"/>
      <c r="G2" s="21" t="s">
        <v>44</v>
      </c>
      <c r="H2" s="10">
        <v>2023</v>
      </c>
    </row>
    <row r="4" spans="1:8">
      <c r="B4" t="s">
        <v>18</v>
      </c>
      <c r="C4" t="s">
        <v>15</v>
      </c>
      <c r="D4" t="s">
        <v>16</v>
      </c>
      <c r="E4" t="s">
        <v>17</v>
      </c>
      <c r="F4" t="s">
        <v>3</v>
      </c>
    </row>
    <row r="5" spans="1:8">
      <c r="A5" s="22" t="s">
        <v>45</v>
      </c>
      <c r="B5" t="s">
        <v>20</v>
      </c>
      <c r="C5" s="19">
        <f>VLOOKUP(Year1&amp;$A5,$A$10:$F$1000,COLUMN(C$4),0)/VLOOKUP(Year2&amp;$A5,$A$10:$F$1000,COLUMN(C$4),0)-1</f>
        <v>5.2000000000000046E-2</v>
      </c>
      <c r="D5" s="19">
        <f>VLOOKUP(Year1&amp;$A5,$A$10:$F$1000,COLUMN(D$4),0)/VLOOKUP(Year2&amp;$A5,$A$10:$F$1000,COLUMN(D$4),0)-1</f>
        <v>5.8823529411764719E-2</v>
      </c>
      <c r="E5" s="19">
        <f>VLOOKUP(Year1&amp;$A5,$A$10:$F$1000,COLUMN(E$4),0)/VLOOKUP(Year2&amp;$A5,$A$10:$F$1000,COLUMN(E$4),0)-1</f>
        <v>5.2631578947368363E-2</v>
      </c>
      <c r="F5" s="19">
        <f>VLOOKUP(Year1&amp;$A5,$A$10:$F$1000,COLUMN(F$4),0)/VLOOKUP(Year2&amp;$A5,$A$10:$F$1000,COLUMN(F$4),0)-1</f>
        <v>0</v>
      </c>
    </row>
    <row r="6" spans="1:8">
      <c r="A6" s="22" t="s">
        <v>46</v>
      </c>
      <c r="B6" t="s">
        <v>19</v>
      </c>
      <c r="C6" s="19">
        <f>VLOOKUP(Year1&amp;$A6,$A$10:$F$1000,COLUMN(C$4),0)/VLOOKUP(Year2&amp;$A6,$A$10:$F$1000,COLUMN(C$4),0)-1</f>
        <v>5.0335570469798752E-2</v>
      </c>
      <c r="D6" s="19">
        <f>VLOOKUP(Year1&amp;$A6,$A$10:$F$1000,COLUMN(D$4),0)/VLOOKUP(Year2&amp;$A6,$A$10:$F$1000,COLUMN(D$4),0)-1</f>
        <v>5.3763440860215006E-2</v>
      </c>
      <c r="E6" s="19">
        <f>VLOOKUP(Year1&amp;$A6,$A$10:$F$1000,COLUMN(E$4),0)/VLOOKUP(Year2&amp;$A6,$A$10:$F$1000,COLUMN(E$4),0)-1</f>
        <v>5.1282051282051322E-2</v>
      </c>
      <c r="F6" s="19">
        <f>VLOOKUP(Year1&amp;$A6,$A$10:$F$1000,COLUMN(F$4),0)/VLOOKUP(Year2&amp;$A6,$A$10:$F$1000,COLUMN(F$4),0)-1</f>
        <v>0</v>
      </c>
    </row>
    <row r="7" spans="1:8">
      <c r="A7" s="22" t="s">
        <v>47</v>
      </c>
      <c r="B7" t="s">
        <v>38</v>
      </c>
      <c r="C7" s="19">
        <f>VLOOKUP(Year1&amp;$A7,$A$10:$F$1000,COLUMN(C$4),0)/VLOOKUP(Year2&amp;$A7,$A$10:$F$1000,COLUMN(C$4),0)-1</f>
        <v>5.0139275766016622E-2</v>
      </c>
      <c r="D7" s="19">
        <f>VLOOKUP(Year1&amp;$A7,$A$10:$F$1000,COLUMN(D$4),0)/VLOOKUP(Year2&amp;$A7,$A$10:$F$1000,COLUMN(D$4),0)-1</f>
        <v>4.6979865771812124E-2</v>
      </c>
      <c r="E7" s="19">
        <f>VLOOKUP(Year1&amp;$A7,$A$10:$F$1000,COLUMN(E$4),0)/VLOOKUP(Year2&amp;$A7,$A$10:$F$1000,COLUMN(E$4),0)-1</f>
        <v>5.555555555555558E-2</v>
      </c>
      <c r="F7" s="19">
        <f>VLOOKUP(Year1&amp;$A7,$A$10:$F$1000,COLUMN(F$4),0)/VLOOKUP(Year2&amp;$A7,$A$10:$F$1000,COLUMN(F$4),0)-1</f>
        <v>0</v>
      </c>
    </row>
    <row r="8" spans="1:8">
      <c r="A8" s="22" t="s">
        <v>48</v>
      </c>
      <c r="B8" t="s">
        <v>21</v>
      </c>
      <c r="C8" s="19">
        <f>VLOOKUP(Year1&amp;$A8,$A$10:$F$1000,COLUMN(C$4),0)/VLOOKUP(Year2&amp;$A8,$A$10:$F$1000,COLUMN(C$4),0)-1</f>
        <v>5.0000000000000044E-2</v>
      </c>
      <c r="D8" s="19">
        <f>VLOOKUP(Year1&amp;$A8,$A$10:$F$1000,COLUMN(D$4),0)/VLOOKUP(Year2&amp;$A8,$A$10:$F$1000,COLUMN(D$4),0)-1</f>
        <v>5.0458715596330306E-2</v>
      </c>
      <c r="E8" s="19">
        <f>VLOOKUP(Year1&amp;$A8,$A$10:$F$1000,COLUMN(E$4),0)/VLOOKUP(Year2&amp;$A8,$A$10:$F$1000,COLUMN(E$4),0)-1</f>
        <v>4.9295774647887258E-2</v>
      </c>
      <c r="F8" s="19">
        <f>VLOOKUP(Year1&amp;$A8,$A$10:$F$1000,COLUMN(F$4),0)/VLOOKUP(Year2&amp;$A8,$A$10:$F$1000,COLUMN(F$4),0)-1</f>
        <v>0</v>
      </c>
    </row>
    <row r="9" spans="1:8">
      <c r="A9" s="22" t="s">
        <v>49</v>
      </c>
      <c r="B9" t="s">
        <v>22</v>
      </c>
      <c r="C9" s="19">
        <f>VLOOKUP(Year1&amp;$A9,$A$10:$F$1000,COLUMN(C$4),0)/VLOOKUP(Year2&amp;$A9,$A$10:$F$1000,COLUMN(C$4),0)-1</f>
        <v>5.0450450450450379E-2</v>
      </c>
      <c r="D9" s="19">
        <f>VLOOKUP(Year1&amp;$A9,$A$10:$F$1000,COLUMN(D$4),0)/VLOOKUP(Year2&amp;$A9,$A$10:$F$1000,COLUMN(D$4),0)-1</f>
        <v>5.0156739811912265E-2</v>
      </c>
      <c r="E9" s="19">
        <f>VLOOKUP(Year1&amp;$A9,$A$10:$F$1000,COLUMN(E$4),0)/VLOOKUP(Year2&amp;$A9,$A$10:$F$1000,COLUMN(E$4),0)-1</f>
        <v>5.0925925925925819E-2</v>
      </c>
      <c r="F9" s="19">
        <f>VLOOKUP(Year1&amp;$A9,$A$10:$F$1000,COLUMN(F$4),0)/VLOOKUP(Year2&amp;$A9,$A$10:$F$1000,COLUMN(F$4),0)-1</f>
        <v>0</v>
      </c>
    </row>
    <row r="12" spans="1:8" ht="15" customHeight="1">
      <c r="B12" s="18">
        <v>2024</v>
      </c>
      <c r="C12" s="18"/>
      <c r="D12" s="18"/>
      <c r="E12" s="18"/>
      <c r="F12" s="18"/>
    </row>
    <row r="13" spans="1:8" ht="15" customHeight="1">
      <c r="B13" s="18"/>
      <c r="C13" s="18"/>
      <c r="D13" s="18"/>
      <c r="E13" s="18"/>
      <c r="F13" s="18"/>
      <c r="H13" s="20"/>
    </row>
    <row r="15" spans="1:8">
      <c r="B15" t="s">
        <v>18</v>
      </c>
      <c r="C15" t="s">
        <v>15</v>
      </c>
      <c r="D15" t="s">
        <v>16</v>
      </c>
      <c r="E15" t="s">
        <v>17</v>
      </c>
      <c r="F15" t="s">
        <v>3</v>
      </c>
    </row>
    <row r="16" spans="1:8">
      <c r="A16" s="22" t="str">
        <f>B$12&amp;$A5</f>
        <v>2024A</v>
      </c>
      <c r="B16" t="s">
        <v>20</v>
      </c>
      <c r="C16" s="1">
        <v>263</v>
      </c>
      <c r="D16" s="1">
        <v>54</v>
      </c>
      <c r="E16" s="1">
        <v>20</v>
      </c>
      <c r="F16" s="1">
        <v>109</v>
      </c>
    </row>
    <row r="17" spans="1:6">
      <c r="A17" s="22" t="str">
        <f t="shared" ref="A17:A20" si="0">B$12&amp;$A6</f>
        <v>2024B</v>
      </c>
      <c r="B17" t="s">
        <v>19</v>
      </c>
      <c r="C17" s="1">
        <v>313</v>
      </c>
      <c r="D17" s="1">
        <v>98</v>
      </c>
      <c r="E17" s="1">
        <v>41</v>
      </c>
      <c r="F17" s="1">
        <v>143</v>
      </c>
    </row>
    <row r="18" spans="1:6">
      <c r="A18" s="22" t="str">
        <f t="shared" si="0"/>
        <v>2024C</v>
      </c>
      <c r="B18" t="s">
        <v>38</v>
      </c>
      <c r="C18" s="1">
        <v>377</v>
      </c>
      <c r="D18" s="1">
        <v>156</v>
      </c>
      <c r="E18" s="1">
        <v>95</v>
      </c>
      <c r="F18" s="1">
        <v>186</v>
      </c>
    </row>
    <row r="19" spans="1:6">
      <c r="A19" s="22" t="str">
        <f t="shared" si="0"/>
        <v>2024D</v>
      </c>
      <c r="B19" t="s">
        <v>21</v>
      </c>
      <c r="C19" s="1">
        <v>462</v>
      </c>
      <c r="D19" s="1">
        <v>229</v>
      </c>
      <c r="E19" s="1">
        <v>149</v>
      </c>
      <c r="F19" s="1">
        <v>236</v>
      </c>
    </row>
    <row r="20" spans="1:6">
      <c r="A20" s="22" t="str">
        <f t="shared" si="0"/>
        <v>2024E</v>
      </c>
      <c r="B20" t="s">
        <v>22</v>
      </c>
      <c r="C20" s="1">
        <v>583</v>
      </c>
      <c r="D20" s="1">
        <v>335</v>
      </c>
      <c r="E20" s="1">
        <v>227</v>
      </c>
      <c r="F20" s="1">
        <v>316</v>
      </c>
    </row>
    <row r="21" spans="1:6">
      <c r="A21" s="22"/>
    </row>
    <row r="22" spans="1:6" ht="15" customHeight="1">
      <c r="A22" s="22"/>
      <c r="B22" s="18">
        <v>2023</v>
      </c>
      <c r="C22" s="18"/>
      <c r="D22" s="18"/>
      <c r="E22" s="18"/>
      <c r="F22" s="18"/>
    </row>
    <row r="23" spans="1:6" ht="15" customHeight="1">
      <c r="A23" s="22"/>
      <c r="B23" s="18"/>
      <c r="C23" s="18"/>
      <c r="D23" s="18"/>
      <c r="E23" s="18"/>
      <c r="F23" s="18"/>
    </row>
    <row r="24" spans="1:6">
      <c r="A24" s="22"/>
    </row>
    <row r="25" spans="1:6">
      <c r="A25" s="22"/>
      <c r="B25" t="s">
        <v>18</v>
      </c>
      <c r="C25" t="s">
        <v>15</v>
      </c>
      <c r="D25" t="s">
        <v>16</v>
      </c>
      <c r="E25" t="s">
        <v>17</v>
      </c>
      <c r="F25" t="s">
        <v>3</v>
      </c>
    </row>
    <row r="26" spans="1:6">
      <c r="A26" s="22" t="str">
        <f>B$22&amp;$A5</f>
        <v>2023A</v>
      </c>
      <c r="B26" t="s">
        <v>20</v>
      </c>
      <c r="C26" s="1">
        <v>250</v>
      </c>
      <c r="D26" s="1">
        <v>51</v>
      </c>
      <c r="E26" s="1">
        <v>19</v>
      </c>
      <c r="F26" s="1">
        <v>109</v>
      </c>
    </row>
    <row r="27" spans="1:6">
      <c r="A27" s="22" t="str">
        <f t="shared" ref="A27:A30" si="1">B$22&amp;$A6</f>
        <v>2023B</v>
      </c>
      <c r="B27" t="s">
        <v>19</v>
      </c>
      <c r="C27" s="1">
        <v>298</v>
      </c>
      <c r="D27" s="1">
        <v>93</v>
      </c>
      <c r="E27" s="1">
        <v>39</v>
      </c>
      <c r="F27" s="1">
        <v>143</v>
      </c>
    </row>
    <row r="28" spans="1:6">
      <c r="A28" s="22" t="str">
        <f t="shared" si="1"/>
        <v>2023C</v>
      </c>
      <c r="B28" t="s">
        <v>38</v>
      </c>
      <c r="C28" s="1">
        <v>359</v>
      </c>
      <c r="D28" s="1">
        <v>149</v>
      </c>
      <c r="E28" s="1">
        <v>90</v>
      </c>
      <c r="F28" s="1">
        <v>186</v>
      </c>
    </row>
    <row r="29" spans="1:6">
      <c r="A29" s="22" t="str">
        <f t="shared" si="1"/>
        <v>2023D</v>
      </c>
      <c r="B29" t="s">
        <v>21</v>
      </c>
      <c r="C29" s="1">
        <v>440</v>
      </c>
      <c r="D29" s="1">
        <v>218</v>
      </c>
      <c r="E29" s="1">
        <v>142</v>
      </c>
      <c r="F29" s="1">
        <v>236</v>
      </c>
    </row>
    <row r="30" spans="1:6">
      <c r="A30" s="22" t="str">
        <f t="shared" si="1"/>
        <v>2023E</v>
      </c>
      <c r="B30" t="s">
        <v>22</v>
      </c>
      <c r="C30" s="1">
        <v>555</v>
      </c>
      <c r="D30" s="1">
        <v>319</v>
      </c>
      <c r="E30" s="1">
        <v>216</v>
      </c>
      <c r="F30" s="1">
        <v>316</v>
      </c>
    </row>
    <row r="31" spans="1:6">
      <c r="A31" s="22"/>
    </row>
    <row r="32" spans="1:6">
      <c r="A32" s="22"/>
      <c r="B32" s="18">
        <v>2022</v>
      </c>
      <c r="C32" s="18"/>
      <c r="D32" s="18"/>
      <c r="E32" s="18"/>
      <c r="F32" s="18"/>
    </row>
    <row r="33" spans="1:6">
      <c r="A33" s="22"/>
      <c r="B33" s="18"/>
      <c r="C33" s="18"/>
      <c r="D33" s="18"/>
      <c r="E33" s="18"/>
      <c r="F33" s="18"/>
    </row>
    <row r="34" spans="1:6">
      <c r="A34" s="22"/>
    </row>
    <row r="35" spans="1:6">
      <c r="A35" s="22"/>
      <c r="B35" t="s">
        <v>18</v>
      </c>
      <c r="C35" t="s">
        <v>15</v>
      </c>
      <c r="D35" t="s">
        <v>16</v>
      </c>
      <c r="E35" t="s">
        <v>17</v>
      </c>
      <c r="F35" t="s">
        <v>3</v>
      </c>
    </row>
    <row r="36" spans="1:6">
      <c r="A36" s="22" t="str">
        <f>B$32&amp;$A5</f>
        <v>2022A</v>
      </c>
      <c r="B36" t="s">
        <v>20</v>
      </c>
      <c r="C36" s="1">
        <v>240</v>
      </c>
      <c r="D36" s="1">
        <v>49</v>
      </c>
      <c r="E36" s="1">
        <v>18</v>
      </c>
      <c r="F36" s="1">
        <v>106</v>
      </c>
    </row>
    <row r="37" spans="1:6">
      <c r="A37" s="22" t="str">
        <f t="shared" ref="A37:A40" si="2">B$32&amp;$A6</f>
        <v>2022B</v>
      </c>
      <c r="B37" t="s">
        <v>19</v>
      </c>
      <c r="C37" s="1">
        <v>284</v>
      </c>
      <c r="D37" s="1">
        <v>89</v>
      </c>
      <c r="E37" s="1">
        <v>37</v>
      </c>
      <c r="F37" s="1">
        <v>139</v>
      </c>
    </row>
    <row r="38" spans="1:6">
      <c r="A38" s="22" t="str">
        <f t="shared" si="2"/>
        <v>2022C</v>
      </c>
      <c r="B38" t="s">
        <v>38</v>
      </c>
      <c r="C38" s="1">
        <v>342</v>
      </c>
      <c r="D38" s="1">
        <v>142</v>
      </c>
      <c r="E38" s="1">
        <v>86</v>
      </c>
      <c r="F38" s="1">
        <v>181</v>
      </c>
    </row>
    <row r="39" spans="1:6">
      <c r="A39" s="22" t="str">
        <f t="shared" si="2"/>
        <v>2022D</v>
      </c>
      <c r="B39" t="s">
        <v>21</v>
      </c>
      <c r="C39" s="1">
        <v>415</v>
      </c>
      <c r="D39" s="1">
        <v>206</v>
      </c>
      <c r="E39" s="1">
        <v>134</v>
      </c>
      <c r="F39" s="1">
        <v>230</v>
      </c>
    </row>
    <row r="40" spans="1:6">
      <c r="A40" s="22" t="str">
        <f t="shared" si="2"/>
        <v>2022E</v>
      </c>
      <c r="B40" t="s">
        <v>22</v>
      </c>
      <c r="C40" s="1">
        <v>524</v>
      </c>
      <c r="D40" s="1">
        <v>301</v>
      </c>
      <c r="E40" s="1">
        <v>204</v>
      </c>
      <c r="F40" s="1">
        <v>307</v>
      </c>
    </row>
    <row r="41" spans="1:6">
      <c r="A41" s="22"/>
    </row>
    <row r="42" spans="1:6">
      <c r="A42" s="22"/>
      <c r="B42" s="18">
        <v>2021</v>
      </c>
      <c r="C42" s="18"/>
      <c r="D42" s="18"/>
      <c r="E42" s="18"/>
      <c r="F42" s="18"/>
    </row>
    <row r="43" spans="1:6">
      <c r="A43" s="22"/>
      <c r="B43" s="18"/>
      <c r="C43" s="18"/>
      <c r="D43" s="18"/>
      <c r="E43" s="18"/>
      <c r="F43" s="18"/>
    </row>
    <row r="44" spans="1:6">
      <c r="A44" s="22"/>
    </row>
    <row r="45" spans="1:6">
      <c r="A45" s="22"/>
      <c r="B45" t="s">
        <v>18</v>
      </c>
      <c r="C45" t="s">
        <v>15</v>
      </c>
      <c r="D45" t="s">
        <v>16</v>
      </c>
      <c r="E45" t="s">
        <v>17</v>
      </c>
      <c r="F45" t="s">
        <v>3</v>
      </c>
    </row>
    <row r="46" spans="1:6">
      <c r="A46" s="22" t="str">
        <f>B$42&amp;$A5</f>
        <v>2021A</v>
      </c>
      <c r="B46" t="s">
        <v>20</v>
      </c>
      <c r="C46" s="1">
        <v>234</v>
      </c>
      <c r="D46" s="1">
        <v>47</v>
      </c>
      <c r="E46" s="1">
        <v>17</v>
      </c>
      <c r="F46" s="1">
        <v>106</v>
      </c>
    </row>
    <row r="47" spans="1:6">
      <c r="A47" s="22" t="str">
        <f t="shared" ref="A47:A50" si="3">B$42&amp;$A6</f>
        <v>2021B</v>
      </c>
      <c r="B47" t="s">
        <v>19</v>
      </c>
      <c r="C47" s="1">
        <v>277</v>
      </c>
      <c r="D47" s="1">
        <v>86</v>
      </c>
      <c r="E47" s="1">
        <v>37</v>
      </c>
      <c r="F47" s="1">
        <v>139</v>
      </c>
    </row>
    <row r="48" spans="1:6">
      <c r="A48" s="22" t="str">
        <f t="shared" si="3"/>
        <v>2021C</v>
      </c>
      <c r="B48" t="s">
        <v>42</v>
      </c>
      <c r="C48" s="1">
        <v>334</v>
      </c>
      <c r="D48" s="1">
        <v>139</v>
      </c>
      <c r="E48" s="1">
        <v>84</v>
      </c>
      <c r="F48" s="1">
        <v>181</v>
      </c>
    </row>
    <row r="49" spans="1:6">
      <c r="A49" s="22" t="str">
        <f t="shared" si="3"/>
        <v>2021D</v>
      </c>
      <c r="B49" t="s">
        <v>21</v>
      </c>
      <c r="C49" s="1">
        <v>405</v>
      </c>
      <c r="D49" s="1">
        <v>201</v>
      </c>
      <c r="E49" s="1">
        <v>131</v>
      </c>
      <c r="F49" s="1">
        <v>230</v>
      </c>
    </row>
    <row r="50" spans="1:6">
      <c r="A50" s="22" t="str">
        <f t="shared" si="3"/>
        <v>2021E</v>
      </c>
      <c r="B50" t="s">
        <v>22</v>
      </c>
      <c r="C50" s="1">
        <v>511</v>
      </c>
      <c r="D50" s="1">
        <v>293</v>
      </c>
      <c r="E50" s="1">
        <v>199</v>
      </c>
      <c r="F50" s="1">
        <v>307</v>
      </c>
    </row>
    <row r="51" spans="1:6">
      <c r="A51" s="22"/>
    </row>
    <row r="52" spans="1:6">
      <c r="A52" s="22"/>
      <c r="B52" s="18">
        <v>2020</v>
      </c>
      <c r="C52" s="18"/>
      <c r="D52" s="18"/>
      <c r="E52" s="18"/>
      <c r="F52" s="18"/>
    </row>
    <row r="53" spans="1:6">
      <c r="A53" s="22"/>
      <c r="B53" s="18"/>
      <c r="C53" s="18"/>
      <c r="D53" s="18"/>
      <c r="E53" s="18"/>
      <c r="F53" s="18"/>
    </row>
    <row r="54" spans="1:6">
      <c r="A54" s="22"/>
    </row>
    <row r="55" spans="1:6">
      <c r="A55" s="22"/>
      <c r="B55" t="s">
        <v>18</v>
      </c>
      <c r="C55" t="s">
        <v>15</v>
      </c>
      <c r="D55" t="s">
        <v>16</v>
      </c>
      <c r="E55" t="s">
        <v>17</v>
      </c>
      <c r="F55" t="s">
        <v>3</v>
      </c>
    </row>
    <row r="56" spans="1:6">
      <c r="A56" s="22" t="str">
        <f>B$52&amp;$A5</f>
        <v>2020A</v>
      </c>
      <c r="B56" t="s">
        <v>20</v>
      </c>
      <c r="C56" s="1">
        <v>228</v>
      </c>
      <c r="D56" s="1">
        <v>46</v>
      </c>
      <c r="E56" s="1">
        <v>17</v>
      </c>
      <c r="F56" s="1">
        <v>103</v>
      </c>
    </row>
    <row r="57" spans="1:6">
      <c r="A57" s="22" t="str">
        <f t="shared" ref="A57:A60" si="4">B$52&amp;$A6</f>
        <v>2020B</v>
      </c>
      <c r="B57" t="s">
        <v>19</v>
      </c>
      <c r="C57" s="1">
        <v>270</v>
      </c>
      <c r="D57" s="1">
        <v>84</v>
      </c>
      <c r="E57" s="1">
        <v>36</v>
      </c>
      <c r="F57" s="1">
        <v>135</v>
      </c>
    </row>
    <row r="58" spans="1:6">
      <c r="A58" s="22" t="str">
        <f t="shared" si="4"/>
        <v>2020C</v>
      </c>
      <c r="B58" t="s">
        <v>42</v>
      </c>
      <c r="C58" s="1">
        <v>325</v>
      </c>
      <c r="D58" s="1">
        <v>135</v>
      </c>
      <c r="E58" s="1">
        <v>81</v>
      </c>
      <c r="F58" s="1">
        <v>176</v>
      </c>
    </row>
    <row r="59" spans="1:6">
      <c r="A59" s="22" t="str">
        <f t="shared" si="4"/>
        <v>2020D</v>
      </c>
      <c r="B59" t="s">
        <v>21</v>
      </c>
      <c r="C59" s="1">
        <v>394</v>
      </c>
      <c r="D59" s="1">
        <v>195</v>
      </c>
      <c r="E59" s="1">
        <v>127</v>
      </c>
      <c r="F59" s="1">
        <v>224</v>
      </c>
    </row>
    <row r="60" spans="1:6">
      <c r="A60" s="22" t="str">
        <f t="shared" si="4"/>
        <v>2020E</v>
      </c>
      <c r="B60" t="s">
        <v>22</v>
      </c>
      <c r="C60" s="1">
        <v>497</v>
      </c>
      <c r="D60" s="1">
        <v>285</v>
      </c>
      <c r="E60" s="1">
        <v>194</v>
      </c>
      <c r="F60" s="1">
        <v>299</v>
      </c>
    </row>
    <row r="61" spans="1:6">
      <c r="A61" s="22"/>
    </row>
    <row r="62" spans="1:6">
      <c r="A62" s="22"/>
      <c r="B62" s="18">
        <v>2019</v>
      </c>
      <c r="C62" s="18"/>
      <c r="D62" s="18"/>
      <c r="E62" s="18"/>
      <c r="F62" s="18"/>
    </row>
    <row r="63" spans="1:6">
      <c r="A63" s="22"/>
      <c r="B63" s="18"/>
      <c r="C63" s="18"/>
      <c r="D63" s="18"/>
      <c r="E63" s="18"/>
      <c r="F63" s="18"/>
    </row>
    <row r="64" spans="1:6">
      <c r="A64" s="22"/>
    </row>
    <row r="65" spans="1:6">
      <c r="A65" s="22"/>
      <c r="B65" t="s">
        <v>18</v>
      </c>
      <c r="C65" t="s">
        <v>15</v>
      </c>
      <c r="D65" t="s">
        <v>16</v>
      </c>
      <c r="E65" t="s">
        <v>17</v>
      </c>
      <c r="F65" t="s">
        <v>3</v>
      </c>
    </row>
    <row r="66" spans="1:6">
      <c r="A66" s="22" t="str">
        <f>B$62&amp;$A5</f>
        <v>2019A</v>
      </c>
      <c r="B66" t="s">
        <v>20</v>
      </c>
      <c r="C66" s="1">
        <v>217</v>
      </c>
      <c r="D66" s="1">
        <v>44</v>
      </c>
      <c r="E66" s="1">
        <v>16</v>
      </c>
      <c r="F66" s="1">
        <v>100</v>
      </c>
    </row>
    <row r="67" spans="1:6">
      <c r="A67" s="22" t="str">
        <f t="shared" ref="A67:A70" si="5">B$62&amp;$A6</f>
        <v>2019B</v>
      </c>
      <c r="B67" t="s">
        <v>19</v>
      </c>
      <c r="C67" s="1">
        <v>257</v>
      </c>
      <c r="D67" s="1">
        <v>80</v>
      </c>
      <c r="E67" s="1">
        <v>34</v>
      </c>
      <c r="F67" s="1">
        <v>130</v>
      </c>
    </row>
    <row r="68" spans="1:6">
      <c r="A68" s="22" t="str">
        <f t="shared" si="5"/>
        <v>2019C</v>
      </c>
      <c r="B68" t="s">
        <v>38</v>
      </c>
      <c r="C68" s="1">
        <v>310</v>
      </c>
      <c r="D68" s="1">
        <v>129</v>
      </c>
      <c r="E68" s="1">
        <v>77</v>
      </c>
      <c r="F68" s="1">
        <v>169</v>
      </c>
    </row>
    <row r="69" spans="1:6">
      <c r="A69" s="22" t="str">
        <f t="shared" si="5"/>
        <v>2019D</v>
      </c>
      <c r="B69" t="s">
        <v>21</v>
      </c>
      <c r="C69" s="1">
        <v>376</v>
      </c>
      <c r="D69" s="1">
        <v>186</v>
      </c>
      <c r="E69" s="1">
        <v>121</v>
      </c>
      <c r="F69" s="1">
        <v>215</v>
      </c>
    </row>
    <row r="70" spans="1:6">
      <c r="A70" s="22" t="str">
        <f t="shared" si="5"/>
        <v>2019E</v>
      </c>
      <c r="B70" t="s">
        <v>22</v>
      </c>
      <c r="C70" s="1">
        <v>474</v>
      </c>
      <c r="D70" s="1">
        <v>272</v>
      </c>
      <c r="E70" s="1">
        <v>184</v>
      </c>
      <c r="F70" s="1">
        <v>288</v>
      </c>
    </row>
  </sheetData>
  <mergeCells count="7">
    <mergeCell ref="B32:F33"/>
    <mergeCell ref="B42:F43"/>
    <mergeCell ref="B52:F53"/>
    <mergeCell ref="B62:F63"/>
    <mergeCell ref="B22:F23"/>
    <mergeCell ref="B12:F13"/>
    <mergeCell ref="B1:F2"/>
  </mergeCells>
  <pageMargins left="0.7" right="0.7" top="0.75" bottom="0.75" header="0.3" footer="0.3"/>
  <pageSetup orientation="portrait" horizontalDpi="1200" verticalDpi="1200" r:id="rId1"/>
  <tableParts count="7">
    <tablePart r:id="rId2"/>
    <tablePart r:id="rId3"/>
    <tablePart r:id="rId4"/>
    <tablePart r:id="rId5"/>
    <tablePart r:id="rId6"/>
    <tablePart r:id="rId7"/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Calculator</vt:lpstr>
      <vt:lpstr>YOY increases</vt:lpstr>
      <vt:lpstr>Year1</vt:lpstr>
      <vt:lpstr>Year2</vt:lpstr>
    </vt:vector>
  </TitlesOfParts>
  <Company>Kellogg School of Management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Hively</dc:creator>
  <cp:lastModifiedBy>Paul H</cp:lastModifiedBy>
  <dcterms:created xsi:type="dcterms:W3CDTF">2018-10-23T14:50:57Z</dcterms:created>
  <dcterms:modified xsi:type="dcterms:W3CDTF">2023-10-18T15:22:06Z</dcterms:modified>
</cp:coreProperties>
</file>